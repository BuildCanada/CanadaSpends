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enuesT2_Sankey" sheetId="1" r:id="rId4"/>
    <sheet state="visible" name="ExpensesT2_Sankey" sheetId="2" r:id="rId5"/>
    <sheet state="visible" name="T1 Gross Expenditures" sheetId="3" r:id="rId6"/>
    <sheet state="visible" name="T2 Gross Expenditures" sheetId="4" r:id="rId7"/>
    <sheet state="visible" name="T1 Revenues" sheetId="5" r:id="rId8"/>
    <sheet state="visible" name="T2 Revenues" sheetId="6" r:id="rId9"/>
    <sheet state="visible" name="By Commitment Group" sheetId="7" r:id="rId10"/>
  </sheets>
  <definedNames/>
  <calcPr/>
  <extLst>
    <ext uri="GoogleSheetsCustomDataVersion2">
      <go:sheetsCustomData xmlns:go="http://customooxmlschemas.google.com/" r:id="rId11" roundtripDataChecksum="FwB+243N6IgnsWzuzhBaMgMAHQsyUu1AYcsji8BnXSo="/>
    </ext>
  </extLst>
</workbook>
</file>

<file path=xl/sharedStrings.xml><?xml version="1.0" encoding="utf-8"?>
<sst xmlns="http://schemas.openxmlformats.org/spreadsheetml/2006/main" count="722" uniqueCount="405">
  <si>
    <t>Name</t>
  </si>
  <si>
    <t>2024 ($Ms)</t>
  </si>
  <si>
    <t>Category</t>
  </si>
  <si>
    <t>Source</t>
  </si>
  <si>
    <t>Children's Services</t>
  </si>
  <si>
    <t>Community and Social Services</t>
  </si>
  <si>
    <t>p 106/107</t>
  </si>
  <si>
    <t>Court Services</t>
  </si>
  <si>
    <t>p 106/108</t>
  </si>
  <si>
    <t>Economic Development and Culture</t>
  </si>
  <si>
    <t>p 106/109</t>
  </si>
  <si>
    <t>Fire Services</t>
  </si>
  <si>
    <t>p 106/110</t>
  </si>
  <si>
    <t>Toronto Paramedic Services</t>
  </si>
  <si>
    <t>p 106/111</t>
  </si>
  <si>
    <t>Seniors Services and Long-Term Care</t>
  </si>
  <si>
    <t>p 106/112</t>
  </si>
  <si>
    <t>Parks, Forestry &amp; Recreation</t>
  </si>
  <si>
    <t>p 106/113</t>
  </si>
  <si>
    <t>Social Development, Finance &amp; Administration</t>
  </si>
  <si>
    <t>p 106/114</t>
  </si>
  <si>
    <t>Toronto Employment &amp; Social Services</t>
  </si>
  <si>
    <t>p 106/115</t>
  </si>
  <si>
    <t>Toronto Shelter and Support Services</t>
  </si>
  <si>
    <t>p 106/116</t>
  </si>
  <si>
    <t>Engineering &amp; Construction Services</t>
  </si>
  <si>
    <t>Infrastructure Services</t>
  </si>
  <si>
    <t>p 106/117</t>
  </si>
  <si>
    <t>Municipal Licensing &amp; Standards</t>
  </si>
  <si>
    <t>p 106/118</t>
  </si>
  <si>
    <t>Toronto Emergency Management</t>
  </si>
  <si>
    <t>p 106/119</t>
  </si>
  <si>
    <t>Policy, Planning, Finance &amp; Administration</t>
  </si>
  <si>
    <t>p 106/120</t>
  </si>
  <si>
    <t>Transit Expansion</t>
  </si>
  <si>
    <t>p 106/121</t>
  </si>
  <si>
    <t>Transportation Services</t>
  </si>
  <si>
    <t>p 106/122</t>
  </si>
  <si>
    <t>City Planning</t>
  </si>
  <si>
    <t>Development &amp; Growth Services</t>
  </si>
  <si>
    <t>p 106/123</t>
  </si>
  <si>
    <t>Toronto Building</t>
  </si>
  <si>
    <t>p 106/124</t>
  </si>
  <si>
    <t>Housing Secretariat</t>
  </si>
  <si>
    <t>p 106/125</t>
  </si>
  <si>
    <t>Development Review</t>
  </si>
  <si>
    <t>p 106/126</t>
  </si>
  <si>
    <t>Corporate Real Estate Management</t>
  </si>
  <si>
    <t>Corporate Services</t>
  </si>
  <si>
    <t>p 106/127</t>
  </si>
  <si>
    <t>Customer Experience</t>
  </si>
  <si>
    <t>p 106/128</t>
  </si>
  <si>
    <t>Environment &amp; Climate</t>
  </si>
  <si>
    <t>p 106/129</t>
  </si>
  <si>
    <t>Fleet Services</t>
  </si>
  <si>
    <t>p 106/130</t>
  </si>
  <si>
    <t>Technology Services</t>
  </si>
  <si>
    <t>p 106/131</t>
  </si>
  <si>
    <t>Office of the Chief Information Security Officer</t>
  </si>
  <si>
    <t>p 106/132</t>
  </si>
  <si>
    <t>Office of the Chief Financial Officer and Treasurer</t>
  </si>
  <si>
    <t>Finance and Treasury Services</t>
  </si>
  <si>
    <t>p 106/133</t>
  </si>
  <si>
    <t>Financial Operations &amp; Control</t>
  </si>
  <si>
    <t>p 106/134</t>
  </si>
  <si>
    <t>City Manager's Office (Excluding FIFA)</t>
  </si>
  <si>
    <t>City Manager</t>
  </si>
  <si>
    <t>p 106/135</t>
  </si>
  <si>
    <t>City Clerk's Office</t>
  </si>
  <si>
    <t>Other City Programs</t>
  </si>
  <si>
    <t>p 106/136</t>
  </si>
  <si>
    <t>Legal Services</t>
  </si>
  <si>
    <t>p 106/137</t>
  </si>
  <si>
    <t>City Council</t>
  </si>
  <si>
    <t>p 106/138</t>
  </si>
  <si>
    <t>Integrity Commissioner's Office</t>
  </si>
  <si>
    <t>Accountability Offices</t>
  </si>
  <si>
    <t>p 106/139</t>
  </si>
  <si>
    <t>Toronto Public Health</t>
  </si>
  <si>
    <t>Agencies</t>
  </si>
  <si>
    <t>p 106/140</t>
  </si>
  <si>
    <t>Toronto Public Library</t>
  </si>
  <si>
    <t>p 106/141</t>
  </si>
  <si>
    <t>Exhibition Place</t>
  </si>
  <si>
    <t>p 106/142</t>
  </si>
  <si>
    <t>Heritage Toronto</t>
  </si>
  <si>
    <t>p 106/143</t>
  </si>
  <si>
    <t>To Live</t>
  </si>
  <si>
    <t>p 106/144</t>
  </si>
  <si>
    <t>Toronto Zoo</t>
  </si>
  <si>
    <t>p 106/145</t>
  </si>
  <si>
    <t>Sankofa Square</t>
  </si>
  <si>
    <t>p 106/146</t>
  </si>
  <si>
    <t>CreateTO</t>
  </si>
  <si>
    <t>p 106/147</t>
  </si>
  <si>
    <t>Toronto &amp; Region Conservation Authority</t>
  </si>
  <si>
    <t>p 106/148</t>
  </si>
  <si>
    <t>Toronto Transit Commission - Conventional</t>
  </si>
  <si>
    <t>p 106/149</t>
  </si>
  <si>
    <t>Toronto Transit Commission - Wheel Trans</t>
  </si>
  <si>
    <t>p 106/150</t>
  </si>
  <si>
    <t>Toronto Police Service</t>
  </si>
  <si>
    <t>p 106/151</t>
  </si>
  <si>
    <t>Toronto Police Service Board</t>
  </si>
  <si>
    <t>p 106/152</t>
  </si>
  <si>
    <t>Capital from Current Technology</t>
  </si>
  <si>
    <t>Capital &amp; Corporate Financing</t>
  </si>
  <si>
    <t>p 106/153</t>
  </si>
  <si>
    <t xml:space="preserve"> Sustainment Debt Charges</t>
  </si>
  <si>
    <t>p 106/154</t>
  </si>
  <si>
    <t>Programs Funded from Reserve Funds</t>
  </si>
  <si>
    <t>Non-Program Expenditures</t>
  </si>
  <si>
    <t>p 106/155</t>
  </si>
  <si>
    <t>Other Corporate Expenditures</t>
  </si>
  <si>
    <t>p 106/156</t>
  </si>
  <si>
    <t>Payments in Lieu of Taxes</t>
  </si>
  <si>
    <t>Non Program Revenues</t>
  </si>
  <si>
    <t>p 106/157</t>
  </si>
  <si>
    <t>Supplementary Taxes</t>
  </si>
  <si>
    <t>p 106/158</t>
  </si>
  <si>
    <t>Tax Penalty Revenue</t>
  </si>
  <si>
    <t>p 106/159</t>
  </si>
  <si>
    <t>Municipal Land Transfer Tax</t>
  </si>
  <si>
    <t>p 106/160</t>
  </si>
  <si>
    <t>Municipal Accommodation Tax (MAT)</t>
  </si>
  <si>
    <t>p 106/161</t>
  </si>
  <si>
    <t>Third Party Sign Tax</t>
  </si>
  <si>
    <t>p 106/162</t>
  </si>
  <si>
    <t>Interest/Investment Earnings</t>
  </si>
  <si>
    <t>p 106/163</t>
  </si>
  <si>
    <t>Dividend Income</t>
  </si>
  <si>
    <t>p 106/164</t>
  </si>
  <si>
    <t>Other Corporate Revenues</t>
  </si>
  <si>
    <t>p 106/165</t>
  </si>
  <si>
    <t>Provincial Revenue</t>
  </si>
  <si>
    <t>p 106/166</t>
  </si>
  <si>
    <t>Parking Authority Revenues</t>
  </si>
  <si>
    <t>p 106/167</t>
  </si>
  <si>
    <t>Administrative Support Recoveries - Water</t>
  </si>
  <si>
    <t>p 106/168</t>
  </si>
  <si>
    <t>Administrative Support Recoveries - Health &amp; EMS</t>
  </si>
  <si>
    <t>p 106/169</t>
  </si>
  <si>
    <t>Parking Tag Enforcement &amp; Operations Rev</t>
  </si>
  <si>
    <t>p 106/170</t>
  </si>
  <si>
    <t>Other Tax Revenues</t>
  </si>
  <si>
    <t>p 106/171</t>
  </si>
  <si>
    <t>Casino Woodbine Revenues</t>
  </si>
  <si>
    <t>p 106/172</t>
  </si>
  <si>
    <t>Vacant Home Tax</t>
  </si>
  <si>
    <t>p 106/173</t>
  </si>
  <si>
    <t>Association of Community Centres</t>
  </si>
  <si>
    <t>Corporate Accounts</t>
  </si>
  <si>
    <t>p 106/174</t>
  </si>
  <si>
    <t>Arena Boards of Management</t>
  </si>
  <si>
    <t>p 106/175</t>
  </si>
  <si>
    <t>Solid Waste Management Services</t>
  </si>
  <si>
    <t>Non Levy Operation</t>
  </si>
  <si>
    <t>p 106/176</t>
  </si>
  <si>
    <t>Toronto Parking Authority</t>
  </si>
  <si>
    <t>p 106/177</t>
  </si>
  <si>
    <t>Toronto Water</t>
  </si>
  <si>
    <t>p 106/178</t>
  </si>
  <si>
    <t>2024 ($full)</t>
  </si>
  <si>
    <t>2024 ($M)</t>
  </si>
  <si>
    <t>Sankey</t>
  </si>
  <si>
    <t>Column1</t>
  </si>
  <si>
    <t>Mayor's Office</t>
  </si>
  <si>
    <t>Auditor General's Office</t>
  </si>
  <si>
    <t>Office of the Lobbyist Registrar</t>
  </si>
  <si>
    <t>Office of the Ombudsman</t>
  </si>
  <si>
    <t>Capital from Current</t>
  </si>
  <si>
    <t>Technology Sustainment</t>
  </si>
  <si>
    <t>Debt Charges</t>
  </si>
  <si>
    <t>Tax Deficiencies / Write Offs</t>
  </si>
  <si>
    <t>Tax Increment Equivalent Grants (TIEG)</t>
  </si>
  <si>
    <t>Assessment Function (MPAC)</t>
  </si>
  <si>
    <t>Funding of Employee Related Liabilities</t>
  </si>
  <si>
    <t>Insurance Contributions</t>
  </si>
  <si>
    <t>Tax Increment Funding (TIF)</t>
  </si>
  <si>
    <t>Parking Tag Enforcement &amp; Operations Exp</t>
  </si>
  <si>
    <t>Heritage Property Taxes Rebate</t>
  </si>
  <si>
    <t>Solid Waste Management Services Rebate</t>
  </si>
  <si>
    <t>Non-Program Revenues</t>
  </si>
  <si>
    <t>Special Levy for Scarborough Subway</t>
  </si>
  <si>
    <t>City Building Fund (CBF)</t>
  </si>
  <si>
    <t>Non-Levy Operation</t>
  </si>
  <si>
    <t>(In $000's)</t>
  </si>
  <si>
    <t>Budget</t>
  </si>
  <si>
    <t>Projection</t>
  </si>
  <si>
    <t>TOTAL - CITY OPERATIONS</t>
  </si>
  <si>
    <t>TOTAL - AGENCIES</t>
  </si>
  <si>
    <t>TOTAL - CITY OPERATIONS AND AGENCIES</t>
  </si>
  <si>
    <t xml:space="preserve">Capital and Corporate Financing </t>
  </si>
  <si>
    <t xml:space="preserve">Non-Program Expenditures </t>
  </si>
  <si>
    <t xml:space="preserve">Non-Program Revenues </t>
  </si>
  <si>
    <t>TOTAL - CORPORATE ACCOUNTS</t>
  </si>
  <si>
    <t>TOTAL LEVY OPERATING BUDGET BEFORE ASSESSMENT GROWTH AND TAX INCREASE</t>
  </si>
  <si>
    <t>TOTAL LEVY INCLUDING SCARBOROUGH SUBWAY EXTENSION LEVY AND CITY BUILDING FUND</t>
  </si>
  <si>
    <t>TOTAL NON-LEVY OPERATING BUDGET</t>
  </si>
  <si>
    <t>Sub-Total Community and Social Services</t>
  </si>
  <si>
    <t>Sub-Total Infrastructure Services</t>
  </si>
  <si>
    <t>Sub-Total Development &amp; Growth Services</t>
  </si>
  <si>
    <t>Sub-Total Corporate Services</t>
  </si>
  <si>
    <t>Sub-Total Finance and Treasury Services</t>
  </si>
  <si>
    <t>City Manager's Office (FIFA Only)</t>
  </si>
  <si>
    <t>Sub-Total City Manager</t>
  </si>
  <si>
    <t>26 071</t>
  </si>
  <si>
    <t>24 871</t>
  </si>
  <si>
    <t>Sub-Total Other City Programs</t>
  </si>
  <si>
    <t>Sub-Total Accountability Offices</t>
  </si>
  <si>
    <t>Toronto Atmospheric Fund</t>
  </si>
  <si>
    <t>Capital and Corporate Financing Subtotal</t>
  </si>
  <si>
    <t>Non-Program Expenditures Subtotal</t>
  </si>
  <si>
    <t>Non-Program Revenues Subtotal</t>
  </si>
  <si>
    <t>City Operations</t>
  </si>
  <si>
    <r>
      <rPr>
        <rFont val="Arial"/>
        <b/>
        <color theme="1"/>
        <sz val="6.0"/>
      </rPr>
      <t>(In $000's)</t>
    </r>
  </si>
  <si>
    <r>
      <rPr>
        <rFont val="Arial"/>
        <b/>
        <color theme="1"/>
        <sz val="6.0"/>
      </rPr>
      <t>Budget</t>
    </r>
  </si>
  <si>
    <r>
      <rPr>
        <rFont val="Arial"/>
        <b/>
        <color theme="1"/>
        <sz val="6.0"/>
      </rPr>
      <t>Projection</t>
    </r>
  </si>
  <si>
    <r>
      <rPr>
        <rFont val="Arial"/>
        <b/>
        <color rgb="FF000000"/>
        <sz val="5.0"/>
      </rPr>
      <t xml:space="preserve">2025
</t>
    </r>
    <r>
      <rPr>
        <rFont val="Arial"/>
        <b/>
        <color rgb="FF000000"/>
        <sz val="5.0"/>
      </rPr>
      <t>Total Budget</t>
    </r>
  </si>
  <si>
    <r>
      <rPr>
        <rFont val="Arial"/>
        <b/>
        <color theme="1"/>
        <sz val="5.0"/>
      </rPr>
      <t>Change from 2024 Budget</t>
    </r>
  </si>
  <si>
    <r>
      <rPr>
        <rFont val="Arial"/>
        <b/>
        <color theme="1"/>
        <sz val="5.0"/>
      </rPr>
      <t>Incr / (Dcr)</t>
    </r>
  </si>
  <si>
    <r>
      <rPr>
        <rFont val="Arial"/>
        <b/>
        <color theme="1"/>
        <sz val="5.0"/>
      </rPr>
      <t>%</t>
    </r>
  </si>
  <si>
    <r>
      <rPr>
        <rFont val="Arial"/>
        <b/>
        <color theme="1"/>
        <sz val="6.0"/>
      </rPr>
      <t>Development &amp; Growth Services</t>
    </r>
  </si>
  <si>
    <r>
      <rPr>
        <rFont val="Arial"/>
        <b/>
        <color theme="1"/>
        <sz val="5.0"/>
      </rPr>
      <t>(0.9%)</t>
    </r>
  </si>
  <si>
    <r>
      <rPr>
        <rFont val="Arial"/>
        <b/>
        <color theme="1"/>
        <sz val="6.0"/>
      </rPr>
      <t>Corporate Services</t>
    </r>
  </si>
  <si>
    <r>
      <rPr>
        <rFont val="Arial"/>
        <b/>
        <color theme="1"/>
        <sz val="6.0"/>
      </rPr>
      <t>Finance and Treasury Services</t>
    </r>
  </si>
  <si>
    <r>
      <rPr>
        <rFont val="Arial"/>
        <b/>
        <color theme="1"/>
        <sz val="6.0"/>
      </rPr>
      <t>City Manager</t>
    </r>
  </si>
  <si>
    <r>
      <rPr>
        <rFont val="Arial"/>
        <b/>
        <color theme="1"/>
        <sz val="6.0"/>
      </rPr>
      <t>Other City Programs</t>
    </r>
  </si>
  <si>
    <r>
      <rPr>
        <rFont val="Arial"/>
        <b/>
        <color theme="1"/>
        <sz val="6.0"/>
      </rPr>
      <t>Accountability Offices</t>
    </r>
  </si>
  <si>
    <r>
      <rPr>
        <rFont val="Arial"/>
        <b/>
        <color theme="1"/>
        <sz val="6.0"/>
      </rPr>
      <t>TOTAL - CITY OPERATIONS</t>
    </r>
  </si>
  <si>
    <r>
      <rPr>
        <rFont val="Arial"/>
        <b/>
        <color theme="1"/>
        <sz val="6.0"/>
      </rPr>
      <t>TOTAL - AGENCIES</t>
    </r>
  </si>
  <si>
    <r>
      <rPr>
        <rFont val="Arial"/>
        <b/>
        <color theme="1"/>
        <sz val="6.0"/>
      </rPr>
      <t>TOTAL - CITY OPERATIONS AND AGENCIES</t>
    </r>
  </si>
  <si>
    <r>
      <rPr>
        <rFont val="Arial"/>
        <b/>
        <color theme="1"/>
        <sz val="6.0"/>
      </rPr>
      <t>Capital &amp; Corporate Financing</t>
    </r>
  </si>
  <si>
    <r>
      <rPr>
        <rFont val="Arial"/>
        <b/>
        <color theme="1"/>
        <sz val="6.0"/>
      </rPr>
      <t>Non-Program Expenditures</t>
    </r>
  </si>
  <si>
    <r>
      <rPr>
        <rFont val="Arial"/>
        <b/>
        <color theme="1"/>
        <sz val="5.0"/>
      </rPr>
      <t>(31.0%)</t>
    </r>
  </si>
  <si>
    <r>
      <rPr>
        <rFont val="Arial"/>
        <b/>
        <color theme="1"/>
        <sz val="6.0"/>
      </rPr>
      <t>Non-Program Revenues</t>
    </r>
  </si>
  <si>
    <r>
      <rPr>
        <rFont val="Arial"/>
        <b/>
        <color theme="1"/>
        <sz val="6.0"/>
      </rPr>
      <t>TOTAL - CORPORATE ACCOUNTS</t>
    </r>
  </si>
  <si>
    <r>
      <rPr>
        <rFont val="Arial"/>
        <b/>
        <color rgb="FF000000"/>
        <sz val="6.0"/>
      </rPr>
      <t xml:space="preserve">TOTAL LEVY OPERATING BUDGET BEFORE ASSESSMENT
</t>
    </r>
    <r>
      <rPr>
        <rFont val="Arial"/>
        <b/>
        <color rgb="FF000000"/>
        <sz val="6.0"/>
      </rPr>
      <t>GROWTH AND TAX INCREASE</t>
    </r>
  </si>
  <si>
    <r>
      <rPr>
        <rFont val="Arial"/>
        <b/>
        <color theme="1"/>
        <sz val="6.0"/>
      </rPr>
      <t>TOTAL LEVY INCLUDING SCARBOROUGH SUBWAY EXTENSION LEVY AND CITY BUILDING FUND</t>
    </r>
  </si>
  <si>
    <r>
      <rPr>
        <rFont val="Arial"/>
        <b/>
        <color theme="1"/>
        <sz val="6.0"/>
      </rPr>
      <t>TOTAL NON LEVY OPERATING BUDGET</t>
    </r>
  </si>
  <si>
    <r>
      <rPr>
        <rFont val="Arial"/>
        <b/>
        <color theme="1"/>
        <sz val="5.0"/>
      </rPr>
      <t>2 240 644</t>
    </r>
  </si>
  <si>
    <r>
      <rPr>
        <rFont val="Arial"/>
        <b/>
        <color theme="1"/>
        <sz val="5.0"/>
      </rPr>
      <t>105 142</t>
    </r>
  </si>
  <si>
    <t>TOTAL OPERATING BUDGET</t>
  </si>
  <si>
    <r>
      <rPr>
        <rFont val="Arial"/>
        <b/>
        <color theme="1"/>
        <sz val="6.0"/>
      </rPr>
      <t>(In $000's)</t>
    </r>
  </si>
  <si>
    <r>
      <rPr>
        <rFont val="Arial"/>
        <b/>
        <color rgb="FF000000"/>
        <sz val="5.0"/>
      </rPr>
      <t xml:space="preserve">2025
</t>
    </r>
    <r>
      <rPr>
        <rFont val="Arial"/>
        <b/>
        <color rgb="FF000000"/>
        <sz val="5.0"/>
      </rPr>
      <t>Total Budget</t>
    </r>
  </si>
  <si>
    <r>
      <rPr>
        <rFont val="Arial"/>
        <b/>
        <color theme="1"/>
        <sz val="5.0"/>
      </rPr>
      <t>Change from 2024 Budget</t>
    </r>
  </si>
  <si>
    <r>
      <rPr>
        <rFont val="Arial"/>
        <b/>
        <color theme="1"/>
        <sz val="6.0"/>
      </rPr>
      <t>Budget</t>
    </r>
  </si>
  <si>
    <r>
      <rPr>
        <rFont val="Arial"/>
        <b/>
        <color theme="1"/>
        <sz val="6.0"/>
      </rPr>
      <t>Projection</t>
    </r>
  </si>
  <si>
    <r>
      <rPr>
        <rFont val="Arial"/>
        <b/>
        <color theme="1"/>
        <sz val="5.0"/>
      </rPr>
      <t>Incr / (Dcr)</t>
    </r>
  </si>
  <si>
    <r>
      <rPr>
        <rFont val="Arial"/>
        <b/>
        <color theme="1"/>
        <sz val="5.0"/>
      </rPr>
      <t>%</t>
    </r>
  </si>
  <si>
    <r>
      <rPr>
        <rFont val="Arial"/>
        <b/>
        <color theme="1"/>
        <sz val="6.0"/>
      </rPr>
      <t>Community and Social Services</t>
    </r>
  </si>
  <si>
    <r>
      <rPr>
        <rFont val="Arial"/>
        <color theme="1"/>
        <sz val="6.0"/>
      </rPr>
      <t>Children's Services</t>
    </r>
  </si>
  <si>
    <r>
      <rPr>
        <rFont val="Arial"/>
        <color theme="1"/>
        <sz val="6.0"/>
      </rPr>
      <t>Court Services</t>
    </r>
  </si>
  <si>
    <r>
      <rPr>
        <rFont val="Arial"/>
        <color theme="1"/>
        <sz val="5.0"/>
      </rPr>
      <t>(68.1%)</t>
    </r>
  </si>
  <si>
    <r>
      <rPr>
        <rFont val="Arial"/>
        <color theme="1"/>
        <sz val="6.0"/>
      </rPr>
      <t>Economic Development and Culture</t>
    </r>
  </si>
  <si>
    <r>
      <rPr>
        <rFont val="Arial"/>
        <color theme="1"/>
        <sz val="5.0"/>
      </rPr>
      <t>(17.8%)</t>
    </r>
  </si>
  <si>
    <r>
      <rPr>
        <rFont val="Arial"/>
        <color theme="1"/>
        <sz val="6.0"/>
      </rPr>
      <t>Fire Services</t>
    </r>
  </si>
  <si>
    <r>
      <rPr>
        <rFont val="Arial"/>
        <color theme="1"/>
        <sz val="6.0"/>
      </rPr>
      <t>Toronto Paramedic Services</t>
    </r>
  </si>
  <si>
    <r>
      <rPr>
        <rFont val="Arial"/>
        <color theme="1"/>
        <sz val="6.0"/>
      </rPr>
      <t>Seniors Services and Long-Term Care</t>
    </r>
  </si>
  <si>
    <r>
      <rPr>
        <rFont val="Arial"/>
        <color theme="1"/>
        <sz val="6.0"/>
      </rPr>
      <t>Parks, Forestry &amp; Recreation</t>
    </r>
  </si>
  <si>
    <r>
      <rPr>
        <rFont val="Arial"/>
        <color theme="1"/>
        <sz val="6.0"/>
      </rPr>
      <t>Social Development, Finance &amp; Administration</t>
    </r>
  </si>
  <si>
    <r>
      <rPr>
        <rFont val="Arial"/>
        <color theme="1"/>
        <sz val="5.0"/>
      </rPr>
      <t>(13.6%)</t>
    </r>
  </si>
  <si>
    <r>
      <rPr>
        <rFont val="Arial"/>
        <color theme="1"/>
        <sz val="6.0"/>
      </rPr>
      <t>Toronto Employment &amp; Social Services</t>
    </r>
  </si>
  <si>
    <r>
      <rPr>
        <rFont val="Arial"/>
        <color theme="1"/>
        <sz val="6.0"/>
      </rPr>
      <t>Toronto Shelter and Support Services</t>
    </r>
  </si>
  <si>
    <r>
      <rPr>
        <rFont val="Arial"/>
        <b/>
        <color theme="1"/>
        <sz val="6.0"/>
      </rPr>
      <t>Sub-Total Community and Social Services</t>
    </r>
  </si>
  <si>
    <r>
      <rPr>
        <rFont val="Arial"/>
        <b/>
        <color theme="1"/>
        <sz val="6.0"/>
      </rPr>
      <t>Infrastructure Services</t>
    </r>
  </si>
  <si>
    <r>
      <rPr>
        <rFont val="Arial"/>
        <color theme="1"/>
        <sz val="6.0"/>
      </rPr>
      <t>Engineering &amp; Construction Services</t>
    </r>
  </si>
  <si>
    <r>
      <rPr>
        <rFont val="Arial"/>
        <color theme="1"/>
        <sz val="6.0"/>
      </rPr>
      <t>Municipal Licensing &amp; Standards</t>
    </r>
  </si>
  <si>
    <r>
      <rPr>
        <rFont val="Arial"/>
        <color theme="1"/>
        <sz val="6.0"/>
      </rPr>
      <t>Toronto Emergency Management</t>
    </r>
  </si>
  <si>
    <r>
      <rPr>
        <rFont val="Arial"/>
        <color theme="1"/>
        <sz val="6.0"/>
      </rPr>
      <t>Policy, Planning, Finance &amp; Administration</t>
    </r>
  </si>
  <si>
    <r>
      <rPr>
        <rFont val="Arial"/>
        <color theme="1"/>
        <sz val="6.0"/>
      </rPr>
      <t>Transit Expansion</t>
    </r>
  </si>
  <si>
    <r>
      <rPr>
        <rFont val="Arial"/>
        <color theme="1"/>
        <sz val="6.0"/>
      </rPr>
      <t>Transportation Services</t>
    </r>
  </si>
  <si>
    <r>
      <rPr>
        <rFont val="Arial"/>
        <b/>
        <color theme="1"/>
        <sz val="6.0"/>
      </rPr>
      <t>Sub-Total Infrastructure Services</t>
    </r>
  </si>
  <si>
    <r>
      <rPr>
        <rFont val="Arial"/>
        <b/>
        <color theme="1"/>
        <sz val="6.0"/>
      </rPr>
      <t>Development &amp; Growth Services</t>
    </r>
  </si>
  <si>
    <r>
      <rPr>
        <rFont val="Arial"/>
        <color theme="1"/>
        <sz val="6.0"/>
      </rPr>
      <t>City Planning</t>
    </r>
  </si>
  <si>
    <r>
      <rPr>
        <rFont val="Arial"/>
        <color theme="1"/>
        <sz val="5.0"/>
      </rPr>
      <t>(1.8%)</t>
    </r>
  </si>
  <si>
    <r>
      <rPr>
        <rFont val="Arial"/>
        <color theme="1"/>
        <sz val="6.0"/>
      </rPr>
      <t>Toronto Building</t>
    </r>
  </si>
  <si>
    <r>
      <rPr>
        <rFont val="Arial"/>
        <color theme="1"/>
        <sz val="6.0"/>
      </rPr>
      <t>Housing Secretariat</t>
    </r>
  </si>
  <si>
    <r>
      <rPr>
        <rFont val="Arial"/>
        <color theme="1"/>
        <sz val="5.0"/>
      </rPr>
      <t>(3.8%)</t>
    </r>
  </si>
  <si>
    <r>
      <rPr>
        <rFont val="Arial"/>
        <color theme="1"/>
        <sz val="6.0"/>
      </rPr>
      <t>Development Review</t>
    </r>
  </si>
  <si>
    <r>
      <rPr>
        <rFont val="Arial"/>
        <b/>
        <color theme="1"/>
        <sz val="6.0"/>
      </rPr>
      <t>Sub-Total Development &amp; Growth Services</t>
    </r>
  </si>
  <si>
    <r>
      <rPr>
        <rFont val="Arial"/>
        <b/>
        <color theme="1"/>
        <sz val="5.0"/>
      </rPr>
      <t>(0.9%)</t>
    </r>
  </si>
  <si>
    <r>
      <rPr>
        <rFont val="Arial"/>
        <b/>
        <color theme="1"/>
        <sz val="6.0"/>
      </rPr>
      <t>Corporate Services</t>
    </r>
  </si>
  <si>
    <r>
      <rPr>
        <rFont val="Arial"/>
        <color theme="1"/>
        <sz val="6.0"/>
      </rPr>
      <t>Corporate Real Estate Management</t>
    </r>
  </si>
  <si>
    <r>
      <rPr>
        <rFont val="Arial"/>
        <color theme="1"/>
        <sz val="6.0"/>
      </rPr>
      <t>Customer Experience</t>
    </r>
  </si>
  <si>
    <r>
      <rPr>
        <rFont val="Arial"/>
        <color theme="1"/>
        <sz val="5.0"/>
      </rPr>
      <t>(2.6%)</t>
    </r>
  </si>
  <si>
    <r>
      <rPr>
        <rFont val="Arial"/>
        <color theme="1"/>
        <sz val="6.0"/>
      </rPr>
      <t>Environment &amp; Climate</t>
    </r>
  </si>
  <si>
    <r>
      <rPr>
        <rFont val="Arial"/>
        <color theme="1"/>
        <sz val="6.0"/>
      </rPr>
      <t>Fleet Services</t>
    </r>
  </si>
  <si>
    <r>
      <rPr>
        <rFont val="Arial"/>
        <color theme="1"/>
        <sz val="6.0"/>
      </rPr>
      <t>Technology Services</t>
    </r>
  </si>
  <si>
    <r>
      <rPr>
        <rFont val="Arial"/>
        <color theme="1"/>
        <sz val="6.0"/>
      </rPr>
      <t>Office of the Chief Information Security Officer</t>
    </r>
  </si>
  <si>
    <r>
      <rPr>
        <rFont val="Arial"/>
        <b/>
        <color theme="1"/>
        <sz val="6.0"/>
      </rPr>
      <t>Sub-Total Corporate Services</t>
    </r>
  </si>
  <si>
    <r>
      <rPr>
        <rFont val="Arial"/>
        <b/>
        <color theme="1"/>
        <sz val="6.0"/>
      </rPr>
      <t>Finance and Treasury Services</t>
    </r>
  </si>
  <si>
    <r>
      <rPr>
        <rFont val="Arial"/>
        <color theme="1"/>
        <sz val="6.0"/>
      </rPr>
      <t>Office of the Chief Financial Officer and Treasurer</t>
    </r>
  </si>
  <si>
    <r>
      <rPr>
        <rFont val="Arial"/>
        <color theme="1"/>
        <sz val="6.0"/>
      </rPr>
      <t>Financial Operations &amp; Control</t>
    </r>
  </si>
  <si>
    <r>
      <rPr>
        <rFont val="Arial"/>
        <b/>
        <color theme="1"/>
        <sz val="6.0"/>
      </rPr>
      <t>Sub-Total Finance and Treasury Services</t>
    </r>
  </si>
  <si>
    <r>
      <rPr>
        <rFont val="Arial"/>
        <b/>
        <color theme="1"/>
        <sz val="6.0"/>
      </rPr>
      <t>City Manager</t>
    </r>
  </si>
  <si>
    <r>
      <rPr>
        <rFont val="Arial"/>
        <color theme="1"/>
        <sz val="6.0"/>
      </rPr>
      <t>City Manager's Office (Excluding FIFA)</t>
    </r>
  </si>
  <si>
    <r>
      <rPr>
        <rFont val="Arial"/>
        <color theme="1"/>
        <sz val="5.0"/>
      </rPr>
      <t>(5.7%)</t>
    </r>
  </si>
  <si>
    <r>
      <rPr>
        <rFont val="Arial"/>
        <color theme="1"/>
        <sz val="6.0"/>
      </rPr>
      <t>City Manager's Office (FIFA Only)</t>
    </r>
  </si>
  <si>
    <r>
      <rPr>
        <rFont val="Arial"/>
        <b/>
        <color theme="1"/>
        <sz val="6.0"/>
      </rPr>
      <t>Sub-Total City Manager</t>
    </r>
  </si>
  <si>
    <r>
      <rPr>
        <rFont val="Arial"/>
        <b/>
        <color theme="1"/>
        <sz val="6.0"/>
      </rPr>
      <t>Other City Programs</t>
    </r>
  </si>
  <si>
    <r>
      <rPr>
        <rFont val="Arial"/>
        <color theme="1"/>
        <sz val="6.0"/>
      </rPr>
      <t>City Clerk's Office</t>
    </r>
  </si>
  <si>
    <r>
      <rPr>
        <rFont val="Arial"/>
        <color theme="1"/>
        <sz val="6.0"/>
      </rPr>
      <t>Legal Services</t>
    </r>
  </si>
  <si>
    <r>
      <rPr>
        <rFont val="Arial"/>
        <color theme="1"/>
        <sz val="6.0"/>
      </rPr>
      <t>Mayor's Office</t>
    </r>
  </si>
  <si>
    <r>
      <rPr>
        <rFont val="Arial"/>
        <color theme="1"/>
        <sz val="5.0"/>
      </rPr>
      <t>n/a</t>
    </r>
  </si>
  <si>
    <r>
      <rPr>
        <rFont val="Arial"/>
        <color theme="1"/>
        <sz val="6.0"/>
      </rPr>
      <t>City Council</t>
    </r>
  </si>
  <si>
    <r>
      <rPr>
        <rFont val="Arial"/>
        <color theme="1"/>
        <sz val="5.0"/>
      </rPr>
      <t>(6.3%)</t>
    </r>
  </si>
  <si>
    <r>
      <rPr>
        <rFont val="Arial"/>
        <b/>
        <color theme="1"/>
        <sz val="6.0"/>
      </rPr>
      <t>Sub-Total Other City Programs</t>
    </r>
  </si>
  <si>
    <r>
      <rPr>
        <rFont val="Arial"/>
        <b/>
        <color theme="1"/>
        <sz val="6.0"/>
      </rPr>
      <t>Accountability Offices</t>
    </r>
  </si>
  <si>
    <r>
      <rPr>
        <rFont val="Arial"/>
        <color theme="1"/>
        <sz val="6.0"/>
      </rPr>
      <t>Auditor General's Office</t>
    </r>
  </si>
  <si>
    <r>
      <rPr>
        <rFont val="Arial"/>
        <color theme="1"/>
        <sz val="5.0"/>
      </rPr>
      <t>n/a</t>
    </r>
  </si>
  <si>
    <r>
      <rPr>
        <rFont val="Arial"/>
        <color theme="1"/>
        <sz val="6.0"/>
      </rPr>
      <t>Integrity Commissioner's Office</t>
    </r>
  </si>
  <si>
    <r>
      <rPr>
        <rFont val="Arial"/>
        <color theme="1"/>
        <sz val="6.0"/>
      </rPr>
      <t>Office of the Lobbyist Registrar</t>
    </r>
  </si>
  <si>
    <r>
      <rPr>
        <rFont val="Arial"/>
        <b/>
        <color theme="1"/>
        <sz val="5.0"/>
      </rPr>
      <t>n/a</t>
    </r>
  </si>
  <si>
    <r>
      <rPr>
        <rFont val="Arial"/>
        <color theme="1"/>
        <sz val="6.0"/>
      </rPr>
      <t>Office of the Ombudsman</t>
    </r>
  </si>
  <si>
    <r>
      <rPr>
        <rFont val="Arial"/>
        <color theme="1"/>
        <sz val="5.0"/>
      </rPr>
      <t>n/a</t>
    </r>
  </si>
  <si>
    <r>
      <rPr>
        <rFont val="Arial"/>
        <b/>
        <color theme="1"/>
        <sz val="6.0"/>
      </rPr>
      <t>Sub-Total Accountability Offices</t>
    </r>
  </si>
  <si>
    <r>
      <rPr>
        <rFont val="Arial"/>
        <b/>
        <color theme="1"/>
        <sz val="6.0"/>
      </rPr>
      <t>TOTAL - CITY OPERATIONS</t>
    </r>
  </si>
  <si>
    <r>
      <rPr>
        <rFont val="Arial"/>
        <b/>
        <color theme="1"/>
        <sz val="6.0"/>
      </rPr>
      <t>Agencies</t>
    </r>
  </si>
  <si>
    <r>
      <rPr>
        <rFont val="Arial"/>
        <color theme="1"/>
        <sz val="6.0"/>
      </rPr>
      <t>Toronto Public Health</t>
    </r>
  </si>
  <si>
    <r>
      <rPr>
        <rFont val="Arial"/>
        <color theme="1"/>
        <sz val="5.0"/>
      </rPr>
      <t>(1.4%)</t>
    </r>
  </si>
  <si>
    <r>
      <rPr>
        <rFont val="Arial"/>
        <color theme="1"/>
        <sz val="6.0"/>
      </rPr>
      <t>Toronto Public Library</t>
    </r>
  </si>
  <si>
    <r>
      <rPr>
        <rFont val="Arial"/>
        <color theme="1"/>
        <sz val="6.0"/>
      </rPr>
      <t>Exhibition Place</t>
    </r>
  </si>
  <si>
    <r>
      <rPr>
        <rFont val="Arial"/>
        <color theme="1"/>
        <sz val="6.0"/>
      </rPr>
      <t>Heritage Toronto</t>
    </r>
  </si>
  <si>
    <r>
      <rPr>
        <rFont val="Arial"/>
        <color theme="1"/>
        <sz val="6.0"/>
      </rPr>
      <t>To Live</t>
    </r>
  </si>
  <si>
    <r>
      <rPr>
        <rFont val="Arial"/>
        <color theme="1"/>
        <sz val="6.0"/>
      </rPr>
      <t>Toronto Zoo</t>
    </r>
  </si>
  <si>
    <r>
      <rPr>
        <rFont val="Arial"/>
        <color theme="1"/>
        <sz val="6.0"/>
      </rPr>
      <t>Sankofa Square</t>
    </r>
  </si>
  <si>
    <r>
      <rPr>
        <rFont val="Arial"/>
        <color theme="1"/>
        <sz val="5.0"/>
      </rPr>
      <t>(9.5%)</t>
    </r>
  </si>
  <si>
    <r>
      <rPr>
        <rFont val="Arial"/>
        <color theme="1"/>
        <sz val="6.0"/>
      </rPr>
      <t>CreateTO</t>
    </r>
  </si>
  <si>
    <r>
      <rPr>
        <rFont val="Arial"/>
        <color theme="1"/>
        <sz val="6.0"/>
      </rPr>
      <t>Toronto &amp; Region Conservation Authority</t>
    </r>
  </si>
  <si>
    <r>
      <rPr>
        <rFont val="Arial"/>
        <color theme="1"/>
        <sz val="6.0"/>
      </rPr>
      <t>Toronto Transit Commission - Conventional</t>
    </r>
  </si>
  <si>
    <r>
      <rPr>
        <rFont val="Arial"/>
        <color theme="1"/>
        <sz val="6.0"/>
      </rPr>
      <t>Toronto Transit Commission - Wheel Trans</t>
    </r>
  </si>
  <si>
    <r>
      <rPr>
        <rFont val="Arial"/>
        <color theme="1"/>
        <sz val="6.0"/>
      </rPr>
      <t>Toronto Police Service</t>
    </r>
  </si>
  <si>
    <r>
      <rPr>
        <rFont val="Arial"/>
        <color theme="1"/>
        <sz val="6.0"/>
      </rPr>
      <t>Toronto Police Service Board</t>
    </r>
  </si>
  <si>
    <r>
      <rPr>
        <rFont val="Arial"/>
        <color theme="1"/>
        <sz val="6.0"/>
      </rPr>
      <t>Toronto Atmospheric Fund</t>
    </r>
  </si>
  <si>
    <r>
      <rPr>
        <rFont val="Arial"/>
        <b/>
        <color theme="1"/>
        <sz val="6.0"/>
      </rPr>
      <t>TOTAL - AGENCIES</t>
    </r>
  </si>
  <si>
    <r>
      <rPr>
        <rFont val="Arial"/>
        <b/>
        <color theme="1"/>
        <sz val="6.0"/>
      </rPr>
      <t>TOTAL - CITY OPERATIONS AND AGENCIES</t>
    </r>
  </si>
  <si>
    <r>
      <rPr>
        <rFont val="Arial"/>
        <color rgb="FF000000"/>
        <sz val="5.0"/>
      </rPr>
      <t xml:space="preserve">150,000
</t>
    </r>
    <r>
      <rPr>
        <rFont val="Arial"/>
        <color rgb="FF000000"/>
        <sz val="5.0"/>
      </rPr>
      <t>241,053</t>
    </r>
  </si>
  <si>
    <r>
      <rPr>
        <rFont val="Arial"/>
        <color rgb="FF000000"/>
        <sz val="5.0"/>
      </rPr>
      <t xml:space="preserve">0.0%
</t>
    </r>
    <r>
      <rPr>
        <rFont val="Arial"/>
        <color rgb="FF000000"/>
        <sz val="5.0"/>
      </rPr>
      <t>n/a 33.3%</t>
    </r>
  </si>
  <si>
    <r>
      <rPr>
        <rFont val="Arial"/>
        <b/>
        <color theme="1"/>
        <sz val="6.0"/>
      </rPr>
      <t>Capital &amp; Corporate Financing</t>
    </r>
  </si>
  <si>
    <r>
      <rPr>
        <rFont val="Arial"/>
        <b/>
        <color theme="1"/>
        <sz val="6.0"/>
      </rPr>
      <t>Non-Program Expenditures</t>
    </r>
  </si>
  <si>
    <r>
      <rPr>
        <rFont val="Arial"/>
        <b/>
        <color theme="1"/>
        <sz val="5.0"/>
      </rPr>
      <t>(31.0%)</t>
    </r>
  </si>
  <si>
    <r>
      <rPr>
        <rFont val="Arial"/>
        <color theme="1"/>
        <sz val="6.0"/>
        <u/>
      </rPr>
      <t>Non Program Revenues</t>
    </r>
  </si>
  <si>
    <r>
      <rPr>
        <rFont val="Arial"/>
        <color theme="1"/>
        <sz val="6.0"/>
      </rPr>
      <t>Payments in Lieu of Taxes</t>
    </r>
  </si>
  <si>
    <r>
      <rPr>
        <rFont val="Arial"/>
        <color theme="1"/>
        <sz val="6.0"/>
      </rPr>
      <t>Supplementary Taxes</t>
    </r>
  </si>
  <si>
    <r>
      <rPr>
        <rFont val="Arial"/>
        <color theme="1"/>
        <sz val="6.0"/>
      </rPr>
      <t>Tax Penalty Revenue</t>
    </r>
  </si>
  <si>
    <r>
      <rPr>
        <rFont val="Arial"/>
        <color theme="1"/>
        <sz val="6.0"/>
      </rPr>
      <t>Municipal Land Transfer Tax</t>
    </r>
  </si>
  <si>
    <r>
      <rPr>
        <rFont val="Arial"/>
        <color theme="1"/>
        <sz val="6.0"/>
      </rPr>
      <t>Municipal Accommodation Tax (MAT)</t>
    </r>
  </si>
  <si>
    <r>
      <rPr>
        <rFont val="Arial"/>
        <color theme="1"/>
        <sz val="6.0"/>
      </rPr>
      <t>Third Party Sign Tax</t>
    </r>
  </si>
  <si>
    <r>
      <rPr>
        <rFont val="Arial"/>
        <color theme="1"/>
        <sz val="6.0"/>
      </rPr>
      <t>Interest/Investment Earnings</t>
    </r>
  </si>
  <si>
    <r>
      <rPr>
        <rFont val="Arial"/>
        <color theme="1"/>
        <sz val="6.0"/>
      </rPr>
      <t>Dividend Income</t>
    </r>
  </si>
  <si>
    <r>
      <rPr>
        <rFont val="Arial"/>
        <color theme="1"/>
        <sz val="5.0"/>
      </rPr>
      <t>(25.0%)</t>
    </r>
  </si>
  <si>
    <r>
      <rPr>
        <rFont val="Arial"/>
        <color theme="1"/>
        <sz val="6.0"/>
      </rPr>
      <t>Other Corporate Revenues</t>
    </r>
  </si>
  <si>
    <r>
      <rPr>
        <rFont val="Arial"/>
        <color theme="1"/>
        <sz val="6.0"/>
      </rPr>
      <t>Provincial Revenue</t>
    </r>
  </si>
  <si>
    <r>
      <rPr>
        <rFont val="Arial"/>
        <color theme="1"/>
        <sz val="6.0"/>
      </rPr>
      <t>Parking Authority Revenues</t>
    </r>
  </si>
  <si>
    <r>
      <rPr>
        <rFont val="Arial"/>
        <color theme="1"/>
        <sz val="6.0"/>
      </rPr>
      <t>Administrative Support Recoveries - Water</t>
    </r>
  </si>
  <si>
    <r>
      <rPr>
        <rFont val="Arial"/>
        <color theme="1"/>
        <sz val="6.0"/>
      </rPr>
      <t>Administrative Support Recoveries - Health &amp; EMS</t>
    </r>
  </si>
  <si>
    <r>
      <rPr>
        <rFont val="Arial"/>
        <color theme="1"/>
        <sz val="5.0"/>
      </rPr>
      <t>(1.0%)</t>
    </r>
  </si>
  <si>
    <r>
      <rPr>
        <rFont val="Arial"/>
        <color theme="1"/>
        <sz val="6.0"/>
      </rPr>
      <t>Parking Tag Enforcement &amp; Operations Rev</t>
    </r>
  </si>
  <si>
    <r>
      <rPr>
        <rFont val="Arial"/>
        <color theme="1"/>
        <sz val="6.0"/>
      </rPr>
      <t>Other Tax Revenues</t>
    </r>
  </si>
  <si>
    <r>
      <rPr>
        <rFont val="Arial"/>
        <color theme="1"/>
        <sz val="5.0"/>
      </rPr>
      <t>(1.3%)</t>
    </r>
  </si>
  <si>
    <r>
      <rPr>
        <rFont val="Arial"/>
        <color theme="1"/>
        <sz val="6.0"/>
      </rPr>
      <t>Casino Woodbine Revenues</t>
    </r>
  </si>
  <si>
    <r>
      <rPr>
        <rFont val="Arial"/>
        <color theme="1"/>
        <sz val="6.0"/>
      </rPr>
      <t>Vacant Home Tax</t>
    </r>
  </si>
  <si>
    <r>
      <rPr>
        <rFont val="Arial"/>
        <b/>
        <color theme="1"/>
        <sz val="6.0"/>
      </rPr>
      <t>Non-Program Revenues</t>
    </r>
  </si>
  <si>
    <r>
      <rPr>
        <rFont val="Arial"/>
        <color theme="1"/>
        <sz val="6.0"/>
      </rPr>
      <t>Association of Community Centres</t>
    </r>
  </si>
  <si>
    <r>
      <rPr>
        <rFont val="Arial"/>
        <color theme="1"/>
        <sz val="6.0"/>
      </rPr>
      <t>Arena Boards of Management</t>
    </r>
  </si>
  <si>
    <r>
      <rPr>
        <rFont val="Arial"/>
        <b/>
        <color theme="1"/>
        <sz val="6.0"/>
      </rPr>
      <t>TOTAL - CORPORATE ACCOUNTS</t>
    </r>
  </si>
  <si>
    <r>
      <rPr>
        <rFont val="Arial"/>
        <b/>
        <color rgb="FF000000"/>
        <sz val="6.0"/>
      </rPr>
      <t xml:space="preserve">TOTAL LEVY OPERATING BUDGET BEFORE ASSESSMENT
</t>
    </r>
    <r>
      <rPr>
        <rFont val="Arial"/>
        <b/>
        <color rgb="FF000000"/>
        <sz val="6.0"/>
      </rPr>
      <t>GROWTH AND TAX INCREASE</t>
    </r>
  </si>
  <si>
    <r>
      <rPr>
        <rFont val="Arial"/>
        <color rgb="FF000000"/>
        <sz val="6.0"/>
      </rPr>
      <t xml:space="preserve">Special Levy for Scarborough Subway
</t>
    </r>
    <r>
      <rPr>
        <rFont val="Arial"/>
        <color rgb="FF000000"/>
        <sz val="6.0"/>
      </rPr>
      <t>City Building Fund (CBF)</t>
    </r>
  </si>
  <si>
    <r>
      <rPr>
        <rFont val="Arial"/>
        <b/>
        <color rgb="FF000000"/>
        <sz val="5.0"/>
      </rPr>
      <t xml:space="preserve">n/a
</t>
    </r>
    <r>
      <rPr>
        <rFont val="Arial"/>
        <b/>
        <color rgb="FF000000"/>
        <sz val="5.0"/>
      </rPr>
      <t>n/a</t>
    </r>
  </si>
  <si>
    <r>
      <rPr>
        <rFont val="Arial"/>
        <b/>
        <color theme="1"/>
        <sz val="6.0"/>
      </rPr>
      <t>TOTAL LEVY INCLUDING SCARBOROUGH SUBWAY EXTENSION LEVY AND CITY BUILDING FUND</t>
    </r>
  </si>
  <si>
    <r>
      <rPr>
        <rFont val="Arial"/>
        <b/>
        <color theme="1"/>
        <sz val="6.0"/>
      </rPr>
      <t>NON LEVY OPERATION</t>
    </r>
  </si>
  <si>
    <r>
      <rPr>
        <rFont val="Arial"/>
        <color theme="1"/>
        <sz val="6.0"/>
      </rPr>
      <t>Solid Waste Management Services</t>
    </r>
  </si>
  <si>
    <r>
      <rPr>
        <rFont val="Arial"/>
        <color theme="1"/>
        <sz val="6.0"/>
      </rPr>
      <t>Toronto Parking Authority</t>
    </r>
  </si>
  <si>
    <r>
      <rPr>
        <rFont val="Arial"/>
        <color theme="1"/>
        <sz val="6.0"/>
      </rPr>
      <t>Toronto Water</t>
    </r>
  </si>
  <si>
    <r>
      <rPr>
        <rFont val="Arial"/>
        <b/>
        <color theme="1"/>
        <sz val="6.0"/>
      </rPr>
      <t>TOTAL NON LEVY OPERATING BUDGET</t>
    </r>
  </si>
  <si>
    <r>
      <rPr>
        <rFont val="Arial"/>
        <b/>
        <color theme="1"/>
        <sz val="5.0"/>
      </rPr>
      <t>2 240 644</t>
    </r>
  </si>
  <si>
    <r>
      <rPr>
        <rFont val="Arial"/>
        <b/>
        <color theme="1"/>
        <sz val="5.0"/>
      </rPr>
      <t>105 142</t>
    </r>
  </si>
  <si>
    <r>
      <rPr>
        <rFont val="Arial"/>
        <b/>
        <color rgb="FF000000"/>
        <sz val="7.0"/>
      </rPr>
      <t xml:space="preserve">Appendix 1.1.5
</t>
    </r>
    <r>
      <rPr>
        <rFont val="Arial"/>
        <b/>
        <color rgb="FF000000"/>
        <sz val="7.0"/>
      </rPr>
      <t xml:space="preserve">CITY OF TORONTO
</t>
    </r>
    <r>
      <rPr>
        <rFont val="Arial"/>
        <b/>
        <color rgb="FF000000"/>
        <sz val="7.0"/>
      </rPr>
      <t>2025 TOTAL OPERATING BUD   ET SUMMARY BY COMMITMENT ITEM GROUP</t>
    </r>
  </si>
  <si>
    <r>
      <rPr>
        <rFont val="Arial"/>
        <b/>
        <color theme="1"/>
        <sz val="7.0"/>
      </rPr>
      <t>(In $000's)</t>
    </r>
  </si>
  <si>
    <r>
      <rPr>
        <rFont val="Arial"/>
        <b/>
        <color theme="1"/>
        <sz val="7.0"/>
      </rPr>
      <t>Budget</t>
    </r>
  </si>
  <si>
    <r>
      <rPr>
        <rFont val="Arial"/>
        <b/>
        <color theme="1"/>
        <sz val="7.0"/>
      </rPr>
      <t>Budget</t>
    </r>
  </si>
  <si>
    <r>
      <rPr>
        <rFont val="Arial"/>
        <b/>
        <color theme="1"/>
        <sz val="7.0"/>
      </rPr>
      <t>Gross Expenditures</t>
    </r>
  </si>
  <si>
    <r>
      <rPr>
        <rFont val="Arial"/>
        <color theme="1"/>
        <sz val="7.0"/>
      </rPr>
      <t>Salaries And Benefits</t>
    </r>
  </si>
  <si>
    <r>
      <rPr>
        <rFont val="Arial"/>
        <color theme="1"/>
        <sz val="7.0"/>
      </rPr>
      <t>Materials &amp; Supplies</t>
    </r>
  </si>
  <si>
    <r>
      <rPr>
        <rFont val="Arial"/>
        <color theme="1"/>
        <sz val="7.0"/>
      </rPr>
      <t>Equipment</t>
    </r>
  </si>
  <si>
    <r>
      <rPr>
        <rFont val="Arial"/>
        <color theme="1"/>
        <sz val="7.0"/>
      </rPr>
      <t>Service And Rent</t>
    </r>
  </si>
  <si>
    <r>
      <rPr>
        <rFont val="Arial"/>
        <color theme="1"/>
        <sz val="7.0"/>
      </rPr>
      <t>Contribution To Capital</t>
    </r>
  </si>
  <si>
    <r>
      <rPr>
        <rFont val="Arial"/>
        <color theme="1"/>
        <sz val="7.0"/>
      </rPr>
      <t>Contribution To Reserves/Reserve Funds</t>
    </r>
  </si>
  <si>
    <r>
      <rPr>
        <rFont val="Arial"/>
        <color theme="1"/>
        <sz val="7.0"/>
      </rPr>
      <t>Other Expenditures (inc Inter-Divisional Charges)</t>
    </r>
  </si>
  <si>
    <r>
      <rPr>
        <rFont val="Arial"/>
        <color theme="1"/>
        <sz val="7.0"/>
      </rPr>
      <t>Rate Programs</t>
    </r>
  </si>
  <si>
    <r>
      <rPr>
        <rFont val="Arial"/>
        <color theme="1"/>
        <sz val="7.0"/>
      </rPr>
      <t>Sub-Total Gross Expenditures</t>
    </r>
  </si>
  <si>
    <r>
      <rPr>
        <rFont val="Arial"/>
        <b/>
        <color theme="1"/>
        <sz val="7.0"/>
      </rPr>
      <t>Revenues</t>
    </r>
  </si>
  <si>
    <r>
      <rPr>
        <rFont val="Arial"/>
        <color rgb="FF000000"/>
        <sz val="7.0"/>
      </rPr>
      <t xml:space="preserve">Provincial Subsidies </t>
    </r>
    <r>
      <rPr>
        <rFont val="Arial"/>
        <color rgb="FF000000"/>
        <sz val="6.0"/>
      </rPr>
      <t>(Note 1)</t>
    </r>
  </si>
  <si>
    <r>
      <rPr>
        <rFont val="Arial"/>
        <color theme="1"/>
        <sz val="7.0"/>
      </rPr>
      <t>Federal Subsidies</t>
    </r>
  </si>
  <si>
    <r>
      <rPr>
        <rFont val="Arial"/>
        <color theme="1"/>
        <sz val="7.0"/>
      </rPr>
      <t>Other Subsidies</t>
    </r>
  </si>
  <si>
    <r>
      <rPr>
        <rFont val="Arial"/>
        <color theme="1"/>
        <sz val="7.0"/>
      </rPr>
      <t>User Fees &amp; Donations</t>
    </r>
  </si>
  <si>
    <r>
      <rPr>
        <rFont val="Arial"/>
        <color theme="1"/>
        <sz val="7.0"/>
      </rPr>
      <t>Licences &amp; Permits Revenue</t>
    </r>
  </si>
  <si>
    <r>
      <rPr>
        <rFont val="Arial"/>
        <color theme="1"/>
        <sz val="7.0"/>
      </rPr>
      <t>Contribution From Reserves/Reserve Funds</t>
    </r>
  </si>
  <si>
    <r>
      <rPr>
        <rFont val="Arial"/>
        <color theme="1"/>
        <sz val="7.0"/>
      </rPr>
      <t>Transfers From Capital</t>
    </r>
  </si>
  <si>
    <r>
      <rPr>
        <rFont val="Arial"/>
        <color theme="1"/>
        <sz val="7.0"/>
      </rPr>
      <t>Sundry and Other Revenues (inc. Inter-Divisional Recoveries)</t>
    </r>
  </si>
  <si>
    <r>
      <rPr>
        <rFont val="Arial"/>
        <color theme="1"/>
        <sz val="7.0"/>
      </rPr>
      <t>Rate Programs</t>
    </r>
  </si>
  <si>
    <r>
      <rPr>
        <rFont val="Arial"/>
        <color theme="1"/>
        <sz val="7.0"/>
      </rPr>
      <t>Sub-Total Revenues</t>
    </r>
  </si>
  <si>
    <r>
      <rPr>
        <rFont val="Arial"/>
        <b/>
        <color rgb="FF000000"/>
        <sz val="7.0"/>
      </rPr>
      <t xml:space="preserve">Net Expenditures </t>
    </r>
    <r>
      <rPr>
        <rFont val="Arial"/>
        <color rgb="FF000000"/>
        <sz val="6.0"/>
      </rPr>
      <t>(Note 2)</t>
    </r>
  </si>
  <si>
    <r>
      <rPr>
        <rFont val="Arial"/>
        <color rgb="FF000000"/>
        <sz val="6.0"/>
      </rPr>
      <t xml:space="preserve">Notes:
</t>
    </r>
    <r>
      <rPr>
        <rFont val="Arial"/>
        <color rgb="FF000000"/>
        <sz val="7.0"/>
      </rPr>
      <t xml:space="preserve">(1) The net amount for Provincial Gas Tax is included under Provincial Subsidies.
</t>
    </r>
    <r>
      <rPr>
        <rFont val="Arial"/>
        <color rgb="FF000000"/>
        <sz val="7.0"/>
      </rPr>
      <t>(2) Total levy and non-Levy figures above are excluding Special Levy for Scarborough Subway and City Building Fund.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</si>
</sst>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0.0%"/>
    <numFmt numFmtId="166" formatCode="0_);[Red]\(0\)"/>
  </numFmts>
  <fonts count="2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6.0"/>
      <color rgb="FF000000"/>
      <name val="Arial"/>
    </font>
    <font/>
    <font>
      <sz val="6.0"/>
      <color theme="1"/>
      <name val="Arial"/>
    </font>
    <font>
      <sz val="6.0"/>
      <color rgb="FF000000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b/>
      <sz val="6.0"/>
      <color theme="1"/>
      <name val="Arial"/>
    </font>
    <font>
      <b/>
      <sz val="5.0"/>
      <color theme="1"/>
      <name val="Arial"/>
    </font>
    <font>
      <b/>
      <sz val="7.0"/>
      <color theme="1"/>
      <name val="Arial"/>
    </font>
    <font>
      <b/>
      <sz val="5.0"/>
      <color rgb="FF000000"/>
      <name val="Arial"/>
    </font>
    <font>
      <b/>
      <sz val="5.0"/>
      <color rgb="FFFF0000"/>
      <name val="Arial"/>
    </font>
    <font>
      <sz val="5.0"/>
      <color rgb="FF000000"/>
      <name val="Arial"/>
    </font>
    <font>
      <b/>
      <sz val="7.0"/>
      <color rgb="FF000000"/>
      <name val="Arial"/>
    </font>
    <font>
      <sz val="6.0"/>
      <color rgb="FF000000"/>
      <name val="Times New Roman"/>
    </font>
    <font>
      <sz val="5.0"/>
      <color rgb="FFFF0000"/>
      <name val="Arial"/>
    </font>
    <font>
      <sz val="5.0"/>
      <color theme="1"/>
      <name val="Arial"/>
    </font>
    <font>
      <sz val="6.0"/>
      <color rgb="FFFF0000"/>
      <name val="Arial"/>
    </font>
    <font>
      <sz val="7.0"/>
      <color theme="1"/>
      <name val="Arial"/>
    </font>
    <font>
      <sz val="7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vertical="top"/>
    </xf>
    <xf borderId="0" fillId="0" fontId="2" numFmtId="164" xfId="0" applyAlignment="1" applyFont="1" applyNumberFormat="1">
      <alignment horizontal="left" vertical="top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164" xfId="0" applyAlignment="1" applyFont="1" applyNumberFormat="1">
      <alignment horizontal="left" vertical="top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4" xfId="0" applyAlignment="1" applyFont="1" applyNumberFormat="1">
      <alignment horizontal="left" vertical="bottom"/>
    </xf>
    <xf borderId="0" fillId="0" fontId="5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" fillId="0" fontId="6" numFmtId="0" xfId="0" applyAlignment="1" applyBorder="1" applyFont="1">
      <alignment horizontal="left" readingOrder="0" shrinkToFit="0" vertical="top" wrapText="0"/>
    </xf>
    <xf borderId="2" fillId="0" fontId="6" numFmtId="0" xfId="0" applyAlignment="1" applyBorder="1" applyFont="1">
      <alignment horizontal="center" readingOrder="0" shrinkToFit="0" vertical="top" wrapText="0"/>
    </xf>
    <xf borderId="3" fillId="0" fontId="7" numFmtId="0" xfId="0" applyAlignment="1" applyBorder="1" applyFont="1">
      <alignment horizontal="left" vertical="top"/>
    </xf>
    <xf borderId="0" fillId="0" fontId="8" numFmtId="0" xfId="0" applyAlignment="1" applyFont="1">
      <alignment horizontal="left" vertical="top"/>
    </xf>
    <xf borderId="4" fillId="0" fontId="7" numFmtId="0" xfId="0" applyAlignment="1" applyBorder="1" applyFont="1">
      <alignment horizontal="left" vertical="top"/>
    </xf>
    <xf borderId="5" fillId="0" fontId="6" numFmtId="0" xfId="0" applyAlignment="1" applyBorder="1" applyFont="1">
      <alignment horizontal="left"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5" fillId="2" fontId="6" numFmtId="0" xfId="0" applyAlignment="1" applyBorder="1" applyFill="1" applyFont="1">
      <alignment horizontal="left" readingOrder="0" shrinkToFit="0" vertical="top" wrapText="0"/>
    </xf>
    <xf borderId="5" fillId="2" fontId="6" numFmtId="0" xfId="0" applyAlignment="1" applyBorder="1" applyFont="1">
      <alignment horizontal="right" readingOrder="0" shrinkToFit="0" vertical="top" wrapText="0"/>
    </xf>
    <xf borderId="2" fillId="0" fontId="6" numFmtId="0" xfId="0" applyAlignment="1" applyBorder="1" applyFont="1">
      <alignment horizontal="left" readingOrder="0" shrinkToFit="0" vertical="bottom" wrapText="0"/>
    </xf>
    <xf borderId="5" fillId="0" fontId="9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left" readingOrder="0" shrinkToFit="0" vertical="bottom" wrapText="0"/>
    </xf>
    <xf borderId="6" fillId="0" fontId="9" numFmtId="0" xfId="0" applyAlignment="1" applyBorder="1" applyFont="1">
      <alignment horizontal="left" readingOrder="0" shrinkToFit="0" vertical="bottom" wrapText="0"/>
    </xf>
    <xf borderId="7" fillId="0" fontId="9" numFmtId="3" xfId="0" applyAlignment="1" applyBorder="1" applyFont="1" applyNumberFormat="1">
      <alignment horizontal="right" readingOrder="0" shrinkToFit="0" vertical="bottom" wrapText="0"/>
    </xf>
    <xf borderId="8" fillId="0" fontId="9" numFmtId="3" xfId="0" applyAlignment="1" applyBorder="1" applyFont="1" applyNumberFormat="1">
      <alignment horizontal="right" readingOrder="0" shrinkToFit="0" vertical="bottom" wrapText="0"/>
    </xf>
    <xf borderId="1" fillId="2" fontId="6" numFmtId="0" xfId="0" applyAlignment="1" applyBorder="1" applyFont="1">
      <alignment horizontal="left" readingOrder="0" shrinkToFit="0" vertical="top" wrapText="0"/>
    </xf>
    <xf borderId="1" fillId="2" fontId="6" numFmtId="3" xfId="0" applyAlignment="1" applyBorder="1" applyFont="1" applyNumberFormat="1">
      <alignment horizontal="right" readingOrder="0" shrinkToFit="0" vertical="top" wrapText="0"/>
    </xf>
    <xf borderId="9" fillId="2" fontId="6" numFmtId="3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horizontal="left" readingOrder="0" shrinkToFit="0" vertical="top" wrapText="1"/>
    </xf>
    <xf borderId="5" fillId="2" fontId="6" numFmtId="3" xfId="0" applyAlignment="1" applyBorder="1" applyFont="1" applyNumberFormat="1">
      <alignment horizontal="right" readingOrder="0" shrinkToFit="0" vertical="top" wrapText="0"/>
    </xf>
    <xf borderId="5" fillId="2" fontId="6" numFmtId="3" xfId="0" applyAlignment="1" applyBorder="1" applyFont="1" applyNumberFormat="1">
      <alignment horizontal="right" readingOrder="0" shrinkToFit="0" vertical="top" wrapText="1"/>
    </xf>
    <xf borderId="0" fillId="0" fontId="10" numFmtId="0" xfId="0" applyAlignment="1" applyFont="1">
      <alignment horizontal="right" vertical="top"/>
    </xf>
    <xf borderId="2" fillId="0" fontId="6" numFmtId="0" xfId="0" applyAlignment="1" applyBorder="1" applyFont="1">
      <alignment horizontal="right" readingOrder="0" shrinkToFit="0" vertical="top" wrapText="0"/>
    </xf>
    <xf borderId="5" fillId="0" fontId="6" numFmtId="0" xfId="0" applyAlignment="1" applyBorder="1" applyFont="1">
      <alignment horizontal="right" readingOrder="0" shrinkToFit="0" vertical="top" wrapText="0"/>
    </xf>
    <xf borderId="10" fillId="0" fontId="6" numFmtId="0" xfId="0" applyAlignment="1" applyBorder="1" applyFont="1">
      <alignment horizontal="left" readingOrder="0" shrinkToFit="0" vertical="top" wrapText="0"/>
    </xf>
    <xf borderId="1" fillId="0" fontId="9" numFmtId="0" xfId="0" applyAlignment="1" applyBorder="1" applyFont="1">
      <alignment horizontal="right" shrinkToFit="0" vertical="top" wrapText="0"/>
    </xf>
    <xf borderId="9" fillId="0" fontId="9" numFmtId="0" xfId="0" applyAlignment="1" applyBorder="1" applyFont="1">
      <alignment horizontal="right" shrinkToFit="0" vertical="top" wrapText="0"/>
    </xf>
    <xf borderId="6" fillId="0" fontId="9" numFmtId="0" xfId="0" applyAlignment="1" applyBorder="1" applyFont="1">
      <alignment horizontal="left" readingOrder="0" shrinkToFit="0" vertical="top" wrapText="0"/>
    </xf>
    <xf borderId="7" fillId="0" fontId="9" numFmtId="3" xfId="0" applyAlignment="1" applyBorder="1" applyFont="1" applyNumberFormat="1">
      <alignment horizontal="right" readingOrder="0" shrinkToFit="0" vertical="top" wrapText="0"/>
    </xf>
    <xf borderId="8" fillId="0" fontId="9" numFmtId="3" xfId="0" applyAlignment="1" applyBorder="1" applyFont="1" applyNumberFormat="1">
      <alignment horizontal="right" readingOrder="0" shrinkToFit="0" vertical="top" wrapText="0"/>
    </xf>
    <xf borderId="4" fillId="0" fontId="9" numFmtId="3" xfId="0" applyAlignment="1" applyBorder="1" applyFont="1" applyNumberFormat="1">
      <alignment horizontal="right" readingOrder="0" shrinkToFit="0" vertical="top" wrapText="0"/>
    </xf>
    <xf borderId="6" fillId="0" fontId="6" numFmtId="0" xfId="0" applyAlignment="1" applyBorder="1" applyFont="1">
      <alignment horizontal="left" readingOrder="0" shrinkToFit="0" vertical="top" wrapText="0"/>
    </xf>
    <xf borderId="8" fillId="0" fontId="9" numFmtId="0" xfId="0" applyAlignment="1" applyBorder="1" applyFont="1">
      <alignment horizontal="right" shrinkToFit="0" vertical="top" wrapText="0"/>
    </xf>
    <xf borderId="7" fillId="0" fontId="9" numFmtId="0" xfId="0" applyAlignment="1" applyBorder="1" applyFont="1">
      <alignment horizontal="right" shrinkToFit="0" vertical="top" wrapText="0"/>
    </xf>
    <xf borderId="8" fillId="0" fontId="9" numFmtId="0" xfId="0" applyAlignment="1" applyBorder="1" applyFont="1">
      <alignment horizontal="right" readingOrder="0" shrinkToFit="0" vertical="top" wrapText="0"/>
    </xf>
    <xf borderId="7" fillId="0" fontId="9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horizontal="left" readingOrder="0" shrinkToFit="0" vertical="bottom" wrapText="0"/>
    </xf>
    <xf borderId="8" fillId="0" fontId="11" numFmtId="0" xfId="0" applyAlignment="1" applyBorder="1" applyFont="1">
      <alignment horizontal="right" readingOrder="0" shrinkToFit="0" vertical="bottom" wrapText="0"/>
    </xf>
    <xf borderId="7" fillId="0" fontId="9" numFmtId="0" xfId="0" applyAlignment="1" applyBorder="1" applyFont="1">
      <alignment horizontal="right" readingOrder="0" shrinkToFit="0" vertical="bottom" wrapText="0"/>
    </xf>
    <xf borderId="8" fillId="0" fontId="9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horizontal="left" readingOrder="0" shrinkToFit="0" vertical="bottom" wrapText="0"/>
    </xf>
    <xf borderId="11" fillId="0" fontId="9" numFmtId="0" xfId="0" applyAlignment="1" applyBorder="1" applyFont="1">
      <alignment horizontal="left" readingOrder="0" shrinkToFit="0" vertical="bottom" wrapText="0"/>
    </xf>
    <xf borderId="4" fillId="0" fontId="9" numFmtId="0" xfId="0" applyAlignment="1" applyBorder="1" applyFont="1">
      <alignment horizontal="right" readingOrder="0" shrinkToFit="0" vertical="bottom" wrapText="0"/>
    </xf>
    <xf borderId="12" fillId="0" fontId="9" numFmtId="0" xfId="0" applyAlignment="1" applyBorder="1" applyFont="1">
      <alignment horizontal="right" readingOrder="0" shrinkToFit="0" vertical="bottom" wrapText="0"/>
    </xf>
    <xf borderId="0" fillId="0" fontId="12" numFmtId="0" xfId="0" applyAlignment="1" applyFont="1">
      <alignment horizontal="left" shrinkToFit="0" vertical="center" wrapText="1"/>
    </xf>
    <xf borderId="0" fillId="0" fontId="6" numFmtId="1" xfId="0" applyAlignment="1" applyFont="1" applyNumberFormat="1">
      <alignment horizontal="center" shrinkToFit="1" vertical="top" wrapText="0"/>
    </xf>
    <xf borderId="0" fillId="0" fontId="4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left" shrinkToFit="0" vertical="top" wrapText="1"/>
    </xf>
    <xf borderId="2" fillId="0" fontId="14" numFmtId="0" xfId="0" applyAlignment="1" applyBorder="1" applyFont="1">
      <alignment horizontal="left" readingOrder="0" shrinkToFit="0" vertical="center" wrapText="1"/>
    </xf>
    <xf borderId="13" fillId="0" fontId="7" numFmtId="0" xfId="0" applyAlignment="1" applyBorder="1" applyFont="1">
      <alignment horizontal="left" vertical="top"/>
    </xf>
    <xf borderId="2" fillId="0" fontId="6" numFmtId="1" xfId="0" applyAlignment="1" applyBorder="1" applyFont="1" applyNumberFormat="1">
      <alignment horizontal="center" shrinkToFit="1" vertical="top" wrapText="0"/>
    </xf>
    <xf borderId="10" fillId="0" fontId="12" numFmtId="0" xfId="0" applyAlignment="1" applyBorder="1" applyFont="1">
      <alignment horizontal="left" shrinkToFit="0" vertical="center" wrapText="1"/>
    </xf>
    <xf borderId="14" fillId="0" fontId="7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vertical="top"/>
    </xf>
    <xf borderId="1" fillId="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top" wrapText="1"/>
    </xf>
    <xf borderId="2" fillId="0" fontId="13" numFmtId="0" xfId="0" applyAlignment="1" applyBorder="1" applyFont="1">
      <alignment horizontal="left" shrinkToFit="0" vertical="top" wrapText="1"/>
    </xf>
    <xf borderId="11" fillId="0" fontId="7" numFmtId="0" xfId="0" applyAlignment="1" applyBorder="1" applyFont="1">
      <alignment horizontal="left" vertical="top"/>
    </xf>
    <xf borderId="15" fillId="0" fontId="7" numFmtId="0" xfId="0" applyAlignment="1" applyBorder="1" applyFont="1">
      <alignment horizontal="left" vertical="top"/>
    </xf>
    <xf borderId="12" fillId="0" fontId="7" numFmtId="0" xfId="0" applyAlignment="1" applyBorder="1" applyFont="1">
      <alignment horizontal="left" vertical="top"/>
    </xf>
    <xf borderId="2" fillId="0" fontId="13" numFmtId="0" xfId="0" applyAlignment="1" applyBorder="1" applyFont="1">
      <alignment horizontal="center" shrinkToFit="0" vertical="top" wrapText="1"/>
    </xf>
    <xf borderId="2" fillId="0" fontId="12" numFmtId="0" xfId="0" applyAlignment="1" applyBorder="1" applyFont="1">
      <alignment horizontal="left" readingOrder="0" shrinkToFit="0" vertical="top" wrapText="1"/>
    </xf>
    <xf borderId="2" fillId="0" fontId="9" numFmtId="0" xfId="0" applyAlignment="1" applyBorder="1" applyFont="1">
      <alignment horizontal="right" shrinkToFit="1" vertical="top" wrapText="0"/>
    </xf>
    <xf borderId="5" fillId="0" fontId="9" numFmtId="0" xfId="0" applyAlignment="1" applyBorder="1" applyFont="1">
      <alignment horizontal="right" shrinkToFit="1" vertical="top" wrapText="0"/>
    </xf>
    <xf borderId="2" fillId="0" fontId="15" numFmtId="3" xfId="0" applyAlignment="1" applyBorder="1" applyFont="1" applyNumberFormat="1">
      <alignment horizontal="right" shrinkToFit="1" vertical="top" wrapText="0"/>
    </xf>
    <xf borderId="2" fillId="0" fontId="15" numFmtId="165" xfId="0" applyAlignment="1" applyBorder="1" applyFont="1" applyNumberFormat="1">
      <alignment horizontal="right" shrinkToFit="1" vertical="top" wrapText="0"/>
    </xf>
    <xf borderId="10" fillId="0" fontId="12" numFmtId="0" xfId="0" applyAlignment="1" applyBorder="1" applyFont="1">
      <alignment horizontal="left" shrinkToFit="0" vertical="top" wrapText="1"/>
    </xf>
    <xf borderId="2" fillId="0" fontId="16" numFmtId="38" xfId="0" applyAlignment="1" applyBorder="1" applyFont="1" applyNumberFormat="1">
      <alignment horizontal="right" shrinkToFit="1" vertical="top" wrapText="0"/>
    </xf>
    <xf borderId="2" fillId="0" fontId="13" numFmtId="0" xfId="0" applyAlignment="1" applyBorder="1" applyFont="1">
      <alignment horizontal="right" shrinkToFit="0" vertical="top" wrapText="1"/>
    </xf>
    <xf borderId="2" fillId="0" fontId="15" numFmtId="1" xfId="0" applyAlignment="1" applyBorder="1" applyFont="1" applyNumberFormat="1">
      <alignment horizontal="right" shrinkToFit="1" vertical="top" wrapText="0"/>
    </xf>
    <xf borderId="2" fillId="0" fontId="4" numFmtId="0" xfId="0" applyAlignment="1" applyBorder="1" applyFont="1">
      <alignment horizontal="left" shrinkToFit="0" vertical="bottom" wrapText="1"/>
    </xf>
    <xf borderId="2" fillId="3" fontId="12" numFmtId="0" xfId="0" applyAlignment="1" applyBorder="1" applyFill="1" applyFont="1">
      <alignment horizontal="left" shrinkToFit="0" vertical="top" wrapText="1"/>
    </xf>
    <xf borderId="2" fillId="3" fontId="6" numFmtId="0" xfId="0" applyAlignment="1" applyBorder="1" applyFont="1">
      <alignment horizontal="right" shrinkToFit="1" vertical="top" wrapText="0"/>
    </xf>
    <xf borderId="5" fillId="3" fontId="6" numFmtId="0" xfId="0" applyAlignment="1" applyBorder="1" applyFont="1">
      <alignment horizontal="right" shrinkToFit="1" vertical="top" wrapText="0"/>
    </xf>
    <xf borderId="2" fillId="3" fontId="15" numFmtId="3" xfId="0" applyAlignment="1" applyBorder="1" applyFont="1" applyNumberFormat="1">
      <alignment horizontal="right" shrinkToFit="1" vertical="top" wrapText="0"/>
    </xf>
    <xf borderId="2" fillId="3" fontId="15" numFmtId="165" xfId="0" applyAlignment="1" applyBorder="1" applyFont="1" applyNumberFormat="1">
      <alignment horizontal="right" shrinkToFit="1" vertical="top" wrapText="0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8" fillId="0" fontId="9" numFmtId="0" xfId="0" applyAlignment="1" applyBorder="1" applyFont="1">
      <alignment horizontal="right" readingOrder="0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17" numFmtId="3" xfId="0" applyAlignment="1" applyBorder="1" applyFont="1" applyNumberFormat="1">
      <alignment horizontal="right" shrinkToFit="1" vertical="bottom" wrapText="0"/>
    </xf>
    <xf borderId="5" fillId="0" fontId="4" numFmtId="0" xfId="0" applyAlignment="1" applyBorder="1" applyFont="1">
      <alignment horizontal="right" shrinkToFit="0" vertical="center" wrapText="1"/>
    </xf>
    <xf borderId="13" fillId="0" fontId="18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right" readingOrder="0" shrinkToFit="0" vertical="center" wrapText="1"/>
    </xf>
    <xf borderId="3" fillId="0" fontId="9" numFmtId="0" xfId="0" applyAlignment="1" applyBorder="1" applyFont="1">
      <alignment horizontal="right" readingOrder="0" shrinkToFit="0" vertical="center" wrapText="1"/>
    </xf>
    <xf borderId="2" fillId="0" fontId="12" numFmtId="0" xfId="0" applyAlignment="1" applyBorder="1" applyFont="1">
      <alignment horizontal="left" shrinkToFit="0" vertical="top" wrapText="1"/>
    </xf>
    <xf borderId="2" fillId="3" fontId="19" numFmtId="0" xfId="0" applyAlignment="1" applyBorder="1" applyFont="1">
      <alignment horizontal="left" shrinkToFit="0" vertical="top" wrapText="1"/>
    </xf>
    <xf borderId="2" fillId="3" fontId="12" numFmtId="0" xfId="0" applyAlignment="1" applyBorder="1" applyFont="1">
      <alignment horizontal="right" readingOrder="0" shrinkToFit="0" vertical="top" wrapText="1"/>
    </xf>
    <xf borderId="5" fillId="3" fontId="12" numFmtId="0" xfId="0" applyAlignment="1" applyBorder="1" applyFont="1">
      <alignment horizontal="right" readingOrder="0" shrinkToFit="0" vertical="top" wrapText="1"/>
    </xf>
    <xf borderId="2" fillId="3" fontId="13" numFmtId="0" xfId="0" applyAlignment="1" applyBorder="1" applyFont="1">
      <alignment horizontal="right" shrinkToFit="0" vertical="top" wrapText="1"/>
    </xf>
    <xf borderId="2" fillId="3" fontId="12" numFmtId="0" xfId="0" applyAlignment="1" applyBorder="1" applyFont="1">
      <alignment horizontal="left" readingOrder="0" shrinkToFit="0" vertical="top" wrapText="1"/>
    </xf>
    <xf borderId="2" fillId="3" fontId="12" numFmtId="0" xfId="0" applyAlignment="1" applyBorder="1" applyFont="1">
      <alignment horizontal="right" shrinkToFit="0" vertical="top" wrapText="1"/>
    </xf>
    <xf borderId="5" fillId="3" fontId="12" numFmtId="0" xfId="0" applyAlignment="1" applyBorder="1" applyFont="1">
      <alignment horizontal="right" shrinkToFit="0" vertical="top" wrapText="1"/>
    </xf>
    <xf borderId="5" fillId="0" fontId="12" numFmtId="0" xfId="0" applyAlignment="1" applyBorder="1" applyFont="1">
      <alignment horizontal="left" shrinkToFit="0" vertical="top" wrapText="1"/>
    </xf>
    <xf borderId="10" fillId="0" fontId="19" numFmtId="0" xfId="0" applyAlignment="1" applyBorder="1" applyFont="1">
      <alignment horizontal="left" shrinkToFit="0" vertical="bottom" wrapText="1"/>
    </xf>
    <xf borderId="1" fillId="0" fontId="19" numFmtId="0" xfId="0" applyAlignment="1" applyBorder="1" applyFont="1">
      <alignment horizontal="left" shrinkToFit="0" vertical="bottom" wrapText="1"/>
    </xf>
    <xf borderId="10" fillId="0" fontId="4" numFmtId="0" xfId="0" applyAlignment="1" applyBorder="1" applyFont="1">
      <alignment horizontal="left" shrinkToFit="0" vertical="bottom" wrapText="1"/>
    </xf>
    <xf borderId="6" fillId="0" fontId="8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left" vertical="top"/>
    </xf>
    <xf borderId="6" fillId="0" fontId="9" numFmtId="3" xfId="0" applyAlignment="1" applyBorder="1" applyFont="1" applyNumberFormat="1">
      <alignment horizontal="right" shrinkToFit="1" vertical="top" wrapText="0"/>
    </xf>
    <xf borderId="7" fillId="0" fontId="9" numFmtId="3" xfId="0" applyAlignment="1" applyBorder="1" applyFont="1" applyNumberFormat="1">
      <alignment horizontal="right" shrinkToFit="1" vertical="top" wrapText="0"/>
    </xf>
    <xf borderId="6" fillId="0" fontId="17" numFmtId="3" xfId="0" applyAlignment="1" applyBorder="1" applyFont="1" applyNumberFormat="1">
      <alignment horizontal="right" shrinkToFit="1" vertical="top" wrapText="0"/>
    </xf>
    <xf borderId="6" fillId="0" fontId="17" numFmtId="165" xfId="0" applyAlignment="1" applyBorder="1" applyFont="1" applyNumberFormat="1">
      <alignment horizontal="right" shrinkToFit="1" vertical="top" wrapText="0"/>
    </xf>
    <xf borderId="6" fillId="0" fontId="20" numFmtId="38" xfId="0" applyAlignment="1" applyBorder="1" applyFont="1" applyNumberFormat="1">
      <alignment horizontal="right" shrinkToFit="1" vertical="top" wrapText="0"/>
    </xf>
    <xf borderId="6" fillId="0" fontId="21" numFmtId="0" xfId="0" applyAlignment="1" applyBorder="1" applyFont="1">
      <alignment horizontal="right" shrinkToFit="0" vertical="top" wrapText="1"/>
    </xf>
    <xf borderId="11" fillId="0" fontId="8" numFmtId="0" xfId="0" applyAlignment="1" applyBorder="1" applyFont="1">
      <alignment horizontal="left" shrinkToFit="0" vertical="top" wrapText="1"/>
    </xf>
    <xf borderId="11" fillId="0" fontId="9" numFmtId="3" xfId="0" applyAlignment="1" applyBorder="1" applyFont="1" applyNumberFormat="1">
      <alignment horizontal="right" shrinkToFit="1" vertical="top" wrapText="0"/>
    </xf>
    <xf borderId="4" fillId="0" fontId="9" numFmtId="3" xfId="0" applyAlignment="1" applyBorder="1" applyFont="1" applyNumberFormat="1">
      <alignment horizontal="right" shrinkToFit="1" vertical="top" wrapText="0"/>
    </xf>
    <xf borderId="11" fillId="0" fontId="17" numFmtId="3" xfId="0" applyAlignment="1" applyBorder="1" applyFont="1" applyNumberFormat="1">
      <alignment horizontal="right" shrinkToFit="1" vertical="top" wrapText="0"/>
    </xf>
    <xf borderId="11" fillId="0" fontId="17" numFmtId="165" xfId="0" applyAlignment="1" applyBorder="1" applyFont="1" applyNumberFormat="1">
      <alignment horizontal="right" shrinkToFit="1" vertical="top" wrapText="0"/>
    </xf>
    <xf borderId="2" fillId="0" fontId="6" numFmtId="3" xfId="0" applyAlignment="1" applyBorder="1" applyFont="1" applyNumberFormat="1">
      <alignment horizontal="right" shrinkToFit="1" vertical="top" wrapText="0"/>
    </xf>
    <xf borderId="5" fillId="0" fontId="6" numFmtId="3" xfId="0" applyAlignment="1" applyBorder="1" applyFont="1" applyNumberFormat="1">
      <alignment horizontal="right" shrinkToFit="1" vertical="top" wrapText="0"/>
    </xf>
    <xf borderId="6" fillId="0" fontId="17" numFmtId="1" xfId="0" applyAlignment="1" applyBorder="1" applyFont="1" applyNumberFormat="1">
      <alignment horizontal="right" shrinkToFit="1" vertical="top" wrapText="0"/>
    </xf>
    <xf borderId="11" fillId="0" fontId="4" numFmtId="0" xfId="0" applyAlignment="1" applyBorder="1" applyFont="1">
      <alignment horizontal="left" shrinkToFit="0" vertical="bottom" wrapText="1"/>
    </xf>
    <xf borderId="6" fillId="0" fontId="20" numFmtId="166" xfId="0" applyAlignment="1" applyBorder="1" applyFont="1" applyNumberFormat="1">
      <alignment horizontal="right" shrinkToFit="1" vertical="top" wrapText="0"/>
    </xf>
    <xf borderId="11" fillId="0" fontId="9" numFmtId="1" xfId="0" applyAlignment="1" applyBorder="1" applyFont="1" applyNumberFormat="1">
      <alignment horizontal="right" shrinkToFit="1" vertical="top" wrapText="0"/>
    </xf>
    <xf borderId="4" fillId="0" fontId="9" numFmtId="1" xfId="0" applyAlignment="1" applyBorder="1" applyFont="1" applyNumberFormat="1">
      <alignment horizontal="right" shrinkToFit="1" vertical="top" wrapText="0"/>
    </xf>
    <xf borderId="11" fillId="0" fontId="17" numFmtId="1" xfId="0" applyAlignment="1" applyBorder="1" applyFont="1" applyNumberFormat="1">
      <alignment horizontal="right" shrinkToFit="1" vertical="top" wrapText="0"/>
    </xf>
    <xf borderId="4" fillId="0" fontId="19" numFmtId="0" xfId="0" applyAlignment="1" applyBorder="1" applyFont="1">
      <alignment horizontal="left" shrinkToFit="0" vertical="bottom" wrapText="1"/>
    </xf>
    <xf borderId="6" fillId="0" fontId="19" numFmtId="0" xfId="0" applyAlignment="1" applyBorder="1" applyFont="1">
      <alignment horizontal="left" shrinkToFit="0" vertical="bottom" wrapText="1"/>
    </xf>
    <xf borderId="7" fillId="0" fontId="19" numFmtId="0" xfId="0" applyAlignment="1" applyBorder="1" applyFont="1">
      <alignment horizontal="left" shrinkToFit="0" vertical="bottom" wrapText="1"/>
    </xf>
    <xf borderId="6" fillId="0" fontId="4" numFmtId="0" xfId="0" applyAlignment="1" applyBorder="1" applyFont="1">
      <alignment horizontal="left" shrinkToFit="0" vertical="bottom" wrapText="1"/>
    </xf>
    <xf borderId="11" fillId="0" fontId="20" numFmtId="166" xfId="0" applyAlignment="1" applyBorder="1" applyFont="1" applyNumberFormat="1">
      <alignment horizontal="right" shrinkToFit="1" vertical="top" wrapText="0"/>
    </xf>
    <xf borderId="11" fillId="0" fontId="21" numFmtId="0" xfId="0" applyAlignment="1" applyBorder="1" applyFont="1">
      <alignment horizontal="right" shrinkToFit="0" vertical="top" wrapText="1"/>
    </xf>
    <xf borderId="10" fillId="0" fontId="4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left" vertical="top"/>
    </xf>
    <xf borderId="6" fillId="0" fontId="9" numFmtId="1" xfId="0" applyAlignment="1" applyBorder="1" applyFont="1" applyNumberFormat="1">
      <alignment horizontal="right" shrinkToFit="1" vertical="top" wrapText="0"/>
    </xf>
    <xf borderId="7" fillId="0" fontId="9" numFmtId="1" xfId="0" applyAlignment="1" applyBorder="1" applyFont="1" applyNumberFormat="1">
      <alignment horizontal="right" shrinkToFit="1" vertical="top" wrapText="0"/>
    </xf>
    <xf borderId="7" fillId="0" fontId="22" numFmtId="166" xfId="0" applyAlignment="1" applyBorder="1" applyFont="1" applyNumberFormat="1">
      <alignment horizontal="right" shrinkToFit="1" vertical="top" wrapText="0"/>
    </xf>
    <xf borderId="6" fillId="0" fontId="13" numFmtId="0" xfId="0" applyAlignment="1" applyBorder="1" applyFont="1">
      <alignment horizontal="right" shrinkToFit="0" vertical="top" wrapText="1"/>
    </xf>
    <xf borderId="11" fillId="0" fontId="19" numFmtId="0" xfId="0" applyAlignment="1" applyBorder="1" applyFont="1">
      <alignment horizontal="left" shrinkToFit="0" vertical="bottom" wrapText="1"/>
    </xf>
    <xf borderId="2" fillId="0" fontId="6" numFmtId="1" xfId="0" applyAlignment="1" applyBorder="1" applyFont="1" applyNumberFormat="1">
      <alignment horizontal="right" shrinkToFit="1" vertical="top" wrapText="0"/>
    </xf>
    <xf borderId="5" fillId="0" fontId="6" numFmtId="1" xfId="0" applyAlignment="1" applyBorder="1" applyFont="1" applyNumberFormat="1">
      <alignment horizontal="right" shrinkToFit="1" vertical="top" wrapText="0"/>
    </xf>
    <xf borderId="2" fillId="3" fontId="6" numFmtId="3" xfId="0" applyAlignment="1" applyBorder="1" applyFont="1" applyNumberFormat="1">
      <alignment horizontal="right" shrinkToFit="1" vertical="top" wrapText="0"/>
    </xf>
    <xf borderId="5" fillId="3" fontId="6" numFmtId="3" xfId="0" applyAlignment="1" applyBorder="1" applyFont="1" applyNumberFormat="1">
      <alignment horizontal="right" shrinkToFit="1" vertical="top" wrapText="0"/>
    </xf>
    <xf borderId="7" fillId="0" fontId="9" numFmtId="3" xfId="0" applyAlignment="1" applyBorder="1" applyFont="1" applyNumberFormat="1">
      <alignment horizontal="right" readingOrder="0" shrinkToFit="0" vertical="center" wrapText="1"/>
    </xf>
    <xf borderId="8" fillId="0" fontId="9" numFmtId="3" xfId="0" applyAlignment="1" applyBorder="1" applyFont="1" applyNumberFormat="1">
      <alignment horizontal="righ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13" fillId="0" fontId="4" numFmtId="0" xfId="0" applyAlignment="1" applyBorder="1" applyFont="1">
      <alignment horizontal="left" shrinkToFit="0" vertical="center" wrapText="1"/>
    </xf>
    <xf borderId="2" fillId="0" fontId="17" numFmtId="3" xfId="0" applyAlignment="1" applyBorder="1" applyFont="1" applyNumberFormat="1">
      <alignment horizontal="right" shrinkToFit="1" vertical="bottom" wrapText="0"/>
    </xf>
    <xf borderId="2" fillId="0" fontId="4" numFmtId="0" xfId="0" applyAlignment="1" applyBorder="1" applyFont="1">
      <alignment horizontal="right" shrinkToFit="0" vertical="center" wrapText="1"/>
    </xf>
    <xf borderId="0" fillId="0" fontId="8" numFmtId="0" xfId="0" applyAlignment="1" applyFont="1">
      <alignment horizontal="left" readingOrder="0" shrinkToFit="0" vertical="top" wrapText="1"/>
    </xf>
    <xf borderId="7" fillId="0" fontId="9" numFmtId="3" xfId="0" applyAlignment="1" applyBorder="1" applyFont="1" applyNumberFormat="1">
      <alignment horizontal="right" readingOrder="0" shrinkToFit="1" vertical="top" wrapText="0"/>
    </xf>
    <xf borderId="8" fillId="0" fontId="9" numFmtId="3" xfId="0" applyAlignment="1" applyBorder="1" applyFont="1" applyNumberFormat="1">
      <alignment horizontal="right" readingOrder="0" shrinkToFit="1" vertical="top" wrapText="0"/>
    </xf>
    <xf borderId="3" fillId="0" fontId="15" numFmtId="3" xfId="0" applyAlignment="1" applyBorder="1" applyFont="1" applyNumberFormat="1">
      <alignment horizontal="right" shrinkToFit="1" vertical="top" wrapText="0"/>
    </xf>
    <xf borderId="5" fillId="0" fontId="15" numFmtId="3" xfId="0" applyAlignment="1" applyBorder="1" applyFont="1" applyNumberFormat="1">
      <alignment horizontal="right" shrinkToFit="1" vertical="top" wrapText="0"/>
    </xf>
    <xf borderId="5" fillId="0" fontId="15" numFmtId="165" xfId="0" applyAlignment="1" applyBorder="1" applyFont="1" applyNumberFormat="1">
      <alignment horizontal="right" shrinkToFit="1" vertical="top" wrapText="0"/>
    </xf>
    <xf borderId="5" fillId="0" fontId="16" numFmtId="38" xfId="0" applyAlignment="1" applyBorder="1" applyFont="1" applyNumberFormat="1">
      <alignment horizontal="right" shrinkToFit="1" vertical="top" wrapText="0"/>
    </xf>
    <xf borderId="5" fillId="0" fontId="13" numFmtId="0" xfId="0" applyAlignment="1" applyBorder="1" applyFont="1">
      <alignment horizontal="right" shrinkToFit="0" vertical="top" wrapText="1"/>
    </xf>
    <xf borderId="10" fillId="0" fontId="8" numFmtId="0" xfId="0" applyAlignment="1" applyBorder="1" applyFont="1">
      <alignment horizontal="left" shrinkToFit="0" vertical="top" wrapText="1"/>
    </xf>
    <xf borderId="10" fillId="0" fontId="9" numFmtId="1" xfId="0" applyAlignment="1" applyBorder="1" applyFont="1" applyNumberFormat="1">
      <alignment horizontal="right" shrinkToFit="1" vertical="top" wrapText="0"/>
    </xf>
    <xf borderId="1" fillId="0" fontId="9" numFmtId="1" xfId="0" applyAlignment="1" applyBorder="1" applyFont="1" applyNumberFormat="1">
      <alignment horizontal="right" shrinkToFit="1" vertical="top" wrapText="0"/>
    </xf>
    <xf borderId="10" fillId="0" fontId="17" numFmtId="1" xfId="0" applyAlignment="1" applyBorder="1" applyFont="1" applyNumberFormat="1">
      <alignment horizontal="right" shrinkToFit="1" vertical="top" wrapText="0"/>
    </xf>
    <xf borderId="10" fillId="0" fontId="17" numFmtId="165" xfId="0" applyAlignment="1" applyBorder="1" applyFont="1" applyNumberFormat="1">
      <alignment horizontal="right" shrinkToFit="1" vertical="top" wrapText="0"/>
    </xf>
    <xf borderId="2" fillId="0" fontId="19" numFmtId="0" xfId="0" applyAlignment="1" applyBorder="1" applyFont="1">
      <alignment horizontal="left" shrinkToFit="0" vertical="top" wrapText="1"/>
    </xf>
    <xf borderId="2" fillId="0" fontId="19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right" shrinkToFit="0" vertical="top" wrapText="1"/>
    </xf>
    <xf borderId="10" fillId="0" fontId="18" numFmtId="1" xfId="0" applyAlignment="1" applyBorder="1" applyFont="1" applyNumberFormat="1">
      <alignment horizontal="center" shrinkToFit="1" vertical="top" wrapText="0"/>
    </xf>
    <xf borderId="0" fillId="0" fontId="4" numFmtId="0" xfId="0" applyAlignment="1" applyFont="1">
      <alignment horizontal="left" shrinkToFit="0" vertical="bottom" wrapText="1"/>
    </xf>
    <xf borderId="6" fillId="0" fontId="1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left" shrinkToFit="0" vertical="center" wrapText="1"/>
    </xf>
    <xf borderId="6" fillId="0" fontId="23" numFmtId="0" xfId="0" applyAlignment="1" applyBorder="1" applyFont="1">
      <alignment horizontal="left" shrinkToFit="0" vertical="top" wrapText="1"/>
    </xf>
    <xf borderId="6" fillId="0" fontId="24" numFmtId="3" xfId="0" applyAlignment="1" applyBorder="1" applyFont="1" applyNumberFormat="1">
      <alignment horizontal="right" shrinkToFit="1" vertical="top" wrapText="0"/>
    </xf>
    <xf borderId="11" fillId="0" fontId="23" numFmtId="0" xfId="0" applyAlignment="1" applyBorder="1" applyFont="1">
      <alignment horizontal="left" shrinkToFit="0" vertical="top" wrapText="1"/>
    </xf>
    <xf borderId="11" fillId="0" fontId="24" numFmtId="3" xfId="0" applyAlignment="1" applyBorder="1" applyFont="1" applyNumberFormat="1">
      <alignment horizontal="right" shrinkToFit="1" vertical="top" wrapText="0"/>
    </xf>
    <xf borderId="2" fillId="3" fontId="23" numFmtId="0" xfId="0" applyAlignment="1" applyBorder="1" applyFont="1">
      <alignment horizontal="left" shrinkToFit="0" vertical="top" wrapText="1"/>
    </xf>
    <xf borderId="2" fillId="3" fontId="18" numFmtId="3" xfId="0" applyAlignment="1" applyBorder="1" applyFont="1" applyNumberFormat="1">
      <alignment horizontal="right" shrinkToFit="1" vertical="top" wrapText="0"/>
    </xf>
    <xf borderId="10" fillId="0" fontId="14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top" wrapText="1"/>
    </xf>
    <xf borderId="16" fillId="3" fontId="4" numFmtId="0" xfId="0" applyAlignment="1" applyBorder="1" applyFont="1">
      <alignment horizontal="left" shrinkToFit="0" vertical="top" wrapText="1"/>
    </xf>
    <xf borderId="17" fillId="0" fontId="7" numFmtId="0" xfId="0" applyAlignment="1" applyBorder="1" applyFont="1">
      <alignment horizontal="left" vertical="top"/>
    </xf>
    <xf borderId="18" fillId="0" fontId="7" numFmtId="0" xfId="0" applyAlignment="1" applyBorder="1" applyFont="1">
      <alignment horizontal="left" vertical="top"/>
    </xf>
    <xf borderId="16" fillId="3" fontId="18" numFmtId="3" xfId="0" applyAlignment="1" applyBorder="1" applyFont="1" applyNumberFormat="1">
      <alignment horizontal="right" shrinkToFit="1" vertical="top" wrapText="0"/>
    </xf>
    <xf borderId="0" fillId="0" fontId="4" numFmtId="0" xfId="0" applyAlignment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RevenuesT2_Sankey-style">
      <tableStyleElement dxfId="1" type="headerRow"/>
      <tableStyleElement dxfId="2" type="firstRowStripe"/>
      <tableStyleElement dxfId="3" type="secondRowStripe"/>
    </tableStyle>
    <tableStyle count="3" pivot="0" name="ExpensesT2_Sanke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110</xdr:row>
      <xdr:rowOff>0</xdr:rowOff>
    </xdr:from>
    <xdr:ext cx="95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24</xdr:row>
      <xdr:rowOff>0</xdr:rowOff>
    </xdr:from>
    <xdr:ext cx="9525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111</xdr:row>
      <xdr:rowOff>0</xdr:rowOff>
    </xdr:from>
    <xdr:ext cx="9525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238125</xdr:colOff>
      <xdr:row>0</xdr:row>
      <xdr:rowOff>95250</xdr:rowOff>
    </xdr:from>
    <xdr:ext cx="9525" cy="466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D77" displayName="Table_1" name="Table_1" id="1">
  <tableColumns count="4">
    <tableColumn name="Name" id="1"/>
    <tableColumn name="2024 ($Ms)" id="2"/>
    <tableColumn name="Category" id="3"/>
    <tableColumn name="Source" id="4"/>
  </tableColumns>
  <tableStyleInfo name="RevenuesT2_Sankey-style" showColumnStripes="0" showFirstColumn="1" showLastColumn="1" showRowStripes="1"/>
</table>
</file>

<file path=xl/tables/table2.xml><?xml version="1.0" encoding="utf-8"?>
<table xmlns="http://schemas.openxmlformats.org/spreadsheetml/2006/main" ref="A1:F87" displayName="Table_2" name="Table_2" id="2">
  <tableColumns count="6">
    <tableColumn name="Name" id="1"/>
    <tableColumn name="2024 ($full)" id="2"/>
    <tableColumn name="2024 ($M)" id="3"/>
    <tableColumn name="Category" id="4"/>
    <tableColumn name="Sankey" id="5"/>
    <tableColumn name="Column1" id="6"/>
  </tableColumns>
  <tableStyleInfo name="ExpensesT2_Sanke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69.75"/>
    <col customWidth="1" min="2" max="2" width="12.63"/>
    <col customWidth="1" min="3" max="3" width="31.38"/>
    <col customWidth="1" min="4" max="4" width="23.63"/>
    <col customWidth="1" min="5" max="6" width="12.63"/>
  </cols>
  <sheetData>
    <row r="1" ht="16.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6.5" customHeight="1">
      <c r="A2" s="3" t="s">
        <v>4</v>
      </c>
      <c r="B2" s="4">
        <v>972.67</v>
      </c>
      <c r="C2" s="3" t="s">
        <v>5</v>
      </c>
      <c r="D2" s="3" t="s">
        <v>6</v>
      </c>
    </row>
    <row r="3" ht="16.5" customHeight="1">
      <c r="A3" s="3" t="s">
        <v>7</v>
      </c>
      <c r="B3" s="4">
        <v>108.185</v>
      </c>
      <c r="C3" s="3" t="s">
        <v>5</v>
      </c>
      <c r="D3" s="3" t="s">
        <v>8</v>
      </c>
    </row>
    <row r="4" ht="16.5" customHeight="1">
      <c r="A4" s="3" t="s">
        <v>9</v>
      </c>
      <c r="B4" s="4">
        <v>18.039</v>
      </c>
      <c r="C4" s="3" t="s">
        <v>5</v>
      </c>
      <c r="D4" s="3" t="s">
        <v>10</v>
      </c>
    </row>
    <row r="5" ht="16.5" customHeight="1">
      <c r="A5" s="3" t="s">
        <v>11</v>
      </c>
      <c r="B5" s="4">
        <v>29.586</v>
      </c>
      <c r="C5" s="3" t="s">
        <v>5</v>
      </c>
      <c r="D5" s="3" t="s">
        <v>12</v>
      </c>
    </row>
    <row r="6" ht="16.5" customHeight="1">
      <c r="A6" s="3" t="s">
        <v>13</v>
      </c>
      <c r="B6" s="4">
        <v>213.976</v>
      </c>
      <c r="C6" s="3" t="s">
        <v>5</v>
      </c>
      <c r="D6" s="3" t="s">
        <v>14</v>
      </c>
    </row>
    <row r="7" ht="16.5" customHeight="1">
      <c r="A7" s="3" t="s">
        <v>15</v>
      </c>
      <c r="B7" s="4">
        <v>315.87</v>
      </c>
      <c r="C7" s="3" t="s">
        <v>5</v>
      </c>
      <c r="D7" s="3" t="s">
        <v>16</v>
      </c>
    </row>
    <row r="8" ht="16.5" customHeight="1">
      <c r="A8" s="3" t="s">
        <v>17</v>
      </c>
      <c r="B8" s="4">
        <v>173.116</v>
      </c>
      <c r="C8" s="3" t="s">
        <v>5</v>
      </c>
      <c r="D8" s="3" t="s">
        <v>18</v>
      </c>
    </row>
    <row r="9" ht="16.5" customHeight="1">
      <c r="A9" s="3" t="s">
        <v>19</v>
      </c>
      <c r="B9" s="4">
        <v>17.18</v>
      </c>
      <c r="C9" s="3" t="s">
        <v>5</v>
      </c>
      <c r="D9" s="3" t="s">
        <v>20</v>
      </c>
    </row>
    <row r="10" ht="16.5" customHeight="1">
      <c r="A10" s="3" t="s">
        <v>21</v>
      </c>
      <c r="B10" s="4">
        <v>1162.375</v>
      </c>
      <c r="C10" s="3" t="s">
        <v>5</v>
      </c>
      <c r="D10" s="3" t="s">
        <v>22</v>
      </c>
    </row>
    <row r="11" ht="16.5" customHeight="1">
      <c r="A11" s="3" t="s">
        <v>23</v>
      </c>
      <c r="B11" s="4">
        <v>614.602</v>
      </c>
      <c r="C11" s="3" t="s">
        <v>5</v>
      </c>
      <c r="D11" s="3" t="s">
        <v>24</v>
      </c>
    </row>
    <row r="12" ht="16.5" customHeight="1">
      <c r="A12" s="3" t="s">
        <v>25</v>
      </c>
      <c r="B12" s="4">
        <v>79.664</v>
      </c>
      <c r="C12" s="3" t="s">
        <v>26</v>
      </c>
      <c r="D12" s="3" t="s">
        <v>27</v>
      </c>
    </row>
    <row r="13" ht="16.5" customHeight="1">
      <c r="A13" s="3" t="s">
        <v>28</v>
      </c>
      <c r="B13" s="4">
        <v>58.732</v>
      </c>
      <c r="C13" s="3" t="s">
        <v>26</v>
      </c>
      <c r="D13" s="3" t="s">
        <v>29</v>
      </c>
    </row>
    <row r="14" ht="16.5" customHeight="1">
      <c r="A14" s="3" t="s">
        <v>30</v>
      </c>
      <c r="B14" s="4">
        <v>1.307</v>
      </c>
      <c r="C14" s="3" t="s">
        <v>26</v>
      </c>
      <c r="D14" s="3" t="s">
        <v>31</v>
      </c>
    </row>
    <row r="15" ht="16.5" customHeight="1">
      <c r="A15" s="3" t="s">
        <v>32</v>
      </c>
      <c r="B15" s="4">
        <v>17.036</v>
      </c>
      <c r="C15" s="3" t="s">
        <v>26</v>
      </c>
      <c r="D15" s="3" t="s">
        <v>33</v>
      </c>
    </row>
    <row r="16" ht="16.5" customHeight="1">
      <c r="A16" s="3" t="s">
        <v>34</v>
      </c>
      <c r="B16" s="4">
        <v>9.922</v>
      </c>
      <c r="C16" s="3" t="s">
        <v>26</v>
      </c>
      <c r="D16" s="3" t="s">
        <v>35</v>
      </c>
    </row>
    <row r="17" ht="16.5" customHeight="1">
      <c r="A17" s="3" t="s">
        <v>36</v>
      </c>
      <c r="B17" s="4">
        <v>220.585</v>
      </c>
      <c r="C17" s="3" t="s">
        <v>26</v>
      </c>
      <c r="D17" s="3" t="s">
        <v>37</v>
      </c>
    </row>
    <row r="18" ht="16.5" customHeight="1">
      <c r="A18" s="3" t="s">
        <v>38</v>
      </c>
      <c r="B18" s="4">
        <v>51.58</v>
      </c>
      <c r="C18" s="3" t="s">
        <v>39</v>
      </c>
      <c r="D18" s="3" t="s">
        <v>40</v>
      </c>
    </row>
    <row r="19" ht="16.5" customHeight="1">
      <c r="A19" s="3" t="s">
        <v>41</v>
      </c>
      <c r="B19" s="4">
        <v>99.429</v>
      </c>
      <c r="C19" s="3" t="s">
        <v>39</v>
      </c>
      <c r="D19" s="3" t="s">
        <v>42</v>
      </c>
    </row>
    <row r="20" ht="16.5" customHeight="1">
      <c r="A20" s="3" t="s">
        <v>43</v>
      </c>
      <c r="B20" s="4">
        <v>258.788</v>
      </c>
      <c r="C20" s="3" t="s">
        <v>39</v>
      </c>
      <c r="D20" s="3" t="s">
        <v>44</v>
      </c>
    </row>
    <row r="21" ht="16.5" customHeight="1">
      <c r="A21" s="3" t="s">
        <v>45</v>
      </c>
      <c r="B21" s="4">
        <v>8.28</v>
      </c>
      <c r="C21" s="3" t="s">
        <v>39</v>
      </c>
      <c r="D21" s="3" t="s">
        <v>46</v>
      </c>
    </row>
    <row r="22" ht="16.5" customHeight="1">
      <c r="A22" s="3" t="s">
        <v>47</v>
      </c>
      <c r="B22" s="4">
        <v>102.509</v>
      </c>
      <c r="C22" s="3" t="s">
        <v>48</v>
      </c>
      <c r="D22" s="3" t="s">
        <v>49</v>
      </c>
    </row>
    <row r="23" ht="16.5" customHeight="1">
      <c r="A23" s="3" t="s">
        <v>50</v>
      </c>
      <c r="B23" s="4">
        <v>9.594</v>
      </c>
      <c r="C23" s="3" t="s">
        <v>48</v>
      </c>
      <c r="D23" s="3" t="s">
        <v>51</v>
      </c>
    </row>
    <row r="24" ht="16.5" customHeight="1">
      <c r="A24" s="3" t="s">
        <v>52</v>
      </c>
      <c r="B24" s="4">
        <v>4.221</v>
      </c>
      <c r="C24" s="3" t="s">
        <v>48</v>
      </c>
      <c r="D24" s="3" t="s">
        <v>53</v>
      </c>
    </row>
    <row r="25" ht="16.5" customHeight="1">
      <c r="A25" s="3" t="s">
        <v>54</v>
      </c>
      <c r="B25" s="4">
        <v>43.323</v>
      </c>
      <c r="C25" s="3" t="s">
        <v>48</v>
      </c>
      <c r="D25" s="3" t="s">
        <v>55</v>
      </c>
    </row>
    <row r="26" ht="16.5" customHeight="1">
      <c r="A26" s="3" t="s">
        <v>56</v>
      </c>
      <c r="B26" s="4">
        <v>48.427</v>
      </c>
      <c r="C26" s="3" t="s">
        <v>48</v>
      </c>
      <c r="D26" s="3" t="s">
        <v>57</v>
      </c>
    </row>
    <row r="27" ht="16.5" customHeight="1">
      <c r="A27" s="3" t="s">
        <v>58</v>
      </c>
      <c r="B27" s="4">
        <v>0.418</v>
      </c>
      <c r="C27" s="3" t="s">
        <v>48</v>
      </c>
      <c r="D27" s="3" t="s">
        <v>59</v>
      </c>
    </row>
    <row r="28" ht="16.5" customHeight="1">
      <c r="A28" s="3" t="s">
        <v>60</v>
      </c>
      <c r="B28" s="4">
        <v>16.367</v>
      </c>
      <c r="C28" s="3" t="s">
        <v>61</v>
      </c>
      <c r="D28" s="3" t="s">
        <v>62</v>
      </c>
    </row>
    <row r="29" ht="16.5" customHeight="1">
      <c r="A29" s="3" t="s">
        <v>63</v>
      </c>
      <c r="B29" s="4">
        <v>42.066</v>
      </c>
      <c r="C29" s="3" t="s">
        <v>61</v>
      </c>
      <c r="D29" s="3" t="s">
        <v>64</v>
      </c>
    </row>
    <row r="30" ht="16.5" customHeight="1">
      <c r="A30" s="3" t="s">
        <v>65</v>
      </c>
      <c r="B30" s="4">
        <v>16.877</v>
      </c>
      <c r="C30" s="3" t="s">
        <v>66</v>
      </c>
      <c r="D30" s="3" t="s">
        <v>67</v>
      </c>
    </row>
    <row r="31" ht="16.5" customHeight="1">
      <c r="A31" s="3" t="s">
        <v>68</v>
      </c>
      <c r="B31" s="4">
        <v>16.243</v>
      </c>
      <c r="C31" s="3" t="s">
        <v>69</v>
      </c>
      <c r="D31" s="3" t="s">
        <v>70</v>
      </c>
    </row>
    <row r="32" ht="16.5" customHeight="1">
      <c r="A32" s="3" t="s">
        <v>71</v>
      </c>
      <c r="B32" s="4">
        <v>24.591</v>
      </c>
      <c r="C32" s="3" t="s">
        <v>69</v>
      </c>
      <c r="D32" s="3" t="s">
        <v>72</v>
      </c>
    </row>
    <row r="33" ht="16.5" customHeight="1">
      <c r="A33" s="3" t="s">
        <v>73</v>
      </c>
      <c r="B33" s="4">
        <v>0.424</v>
      </c>
      <c r="C33" s="3" t="s">
        <v>69</v>
      </c>
      <c r="D33" s="3" t="s">
        <v>74</v>
      </c>
    </row>
    <row r="34" ht="16.5" customHeight="1">
      <c r="A34" s="5" t="s">
        <v>75</v>
      </c>
      <c r="B34" s="6">
        <v>0.053</v>
      </c>
      <c r="C34" s="5" t="s">
        <v>76</v>
      </c>
      <c r="D34" s="3" t="s">
        <v>77</v>
      </c>
    </row>
    <row r="35" ht="16.5" customHeight="1">
      <c r="A35" s="5" t="s">
        <v>78</v>
      </c>
      <c r="B35" s="6">
        <v>180.506</v>
      </c>
      <c r="C35" s="5" t="s">
        <v>79</v>
      </c>
      <c r="D35" s="3" t="s">
        <v>80</v>
      </c>
    </row>
    <row r="36" ht="16.5" customHeight="1">
      <c r="A36" s="5" t="s">
        <v>81</v>
      </c>
      <c r="B36" s="6">
        <v>20.798</v>
      </c>
      <c r="C36" s="5" t="s">
        <v>79</v>
      </c>
      <c r="D36" s="3" t="s">
        <v>82</v>
      </c>
    </row>
    <row r="37" ht="16.5" customHeight="1">
      <c r="A37" s="5" t="s">
        <v>83</v>
      </c>
      <c r="B37" s="6">
        <v>68.217</v>
      </c>
      <c r="C37" s="5" t="s">
        <v>79</v>
      </c>
      <c r="D37" s="3" t="s">
        <v>84</v>
      </c>
    </row>
    <row r="38" ht="16.5" customHeight="1">
      <c r="A38" s="5" t="s">
        <v>85</v>
      </c>
      <c r="B38" s="6">
        <v>0.696</v>
      </c>
      <c r="C38" s="5" t="s">
        <v>79</v>
      </c>
      <c r="D38" s="3" t="s">
        <v>86</v>
      </c>
    </row>
    <row r="39" ht="16.5" customHeight="1">
      <c r="A39" s="5" t="s">
        <v>87</v>
      </c>
      <c r="B39" s="6">
        <v>33.59</v>
      </c>
      <c r="C39" s="5" t="s">
        <v>79</v>
      </c>
      <c r="D39" s="3" t="s">
        <v>88</v>
      </c>
    </row>
    <row r="40" ht="16.5" customHeight="1">
      <c r="A40" s="5" t="s">
        <v>89</v>
      </c>
      <c r="B40" s="6">
        <v>51.572</v>
      </c>
      <c r="C40" s="5" t="s">
        <v>79</v>
      </c>
      <c r="D40" s="3" t="s">
        <v>90</v>
      </c>
    </row>
    <row r="41" ht="16.5" customHeight="1">
      <c r="A41" s="5" t="s">
        <v>91</v>
      </c>
      <c r="B41" s="6">
        <v>2.329</v>
      </c>
      <c r="C41" s="5" t="s">
        <v>79</v>
      </c>
      <c r="D41" s="3" t="s">
        <v>92</v>
      </c>
    </row>
    <row r="42" ht="16.5" customHeight="1">
      <c r="A42" s="5" t="s">
        <v>93</v>
      </c>
      <c r="B42" s="6">
        <v>18.463</v>
      </c>
      <c r="C42" s="5" t="s">
        <v>79</v>
      </c>
      <c r="D42" s="3" t="s">
        <v>94</v>
      </c>
    </row>
    <row r="43" ht="16.5" customHeight="1">
      <c r="A43" s="5" t="s">
        <v>95</v>
      </c>
      <c r="B43" s="6">
        <v>5.743</v>
      </c>
      <c r="C43" s="5" t="s">
        <v>79</v>
      </c>
      <c r="D43" s="3" t="s">
        <v>96</v>
      </c>
    </row>
    <row r="44" ht="16.5" customHeight="1">
      <c r="A44" s="5" t="s">
        <v>97</v>
      </c>
      <c r="B44" s="6">
        <v>1276.13</v>
      </c>
      <c r="C44" s="5" t="s">
        <v>79</v>
      </c>
      <c r="D44" s="3" t="s">
        <v>98</v>
      </c>
    </row>
    <row r="45" ht="16.5" customHeight="1">
      <c r="A45" s="5" t="s">
        <v>99</v>
      </c>
      <c r="B45" s="6">
        <v>8.468</v>
      </c>
      <c r="C45" s="5" t="s">
        <v>79</v>
      </c>
      <c r="D45" s="3" t="s">
        <v>100</v>
      </c>
    </row>
    <row r="46" ht="16.5" customHeight="1">
      <c r="A46" s="5" t="s">
        <v>101</v>
      </c>
      <c r="B46" s="6">
        <v>194.89</v>
      </c>
      <c r="C46" s="5" t="s">
        <v>79</v>
      </c>
      <c r="D46" s="3" t="s">
        <v>102</v>
      </c>
    </row>
    <row r="47" ht="16.5" customHeight="1">
      <c r="A47" s="5" t="s">
        <v>103</v>
      </c>
      <c r="B47" s="6">
        <v>0.853</v>
      </c>
      <c r="C47" s="5" t="s">
        <v>79</v>
      </c>
      <c r="D47" s="3" t="s">
        <v>104</v>
      </c>
    </row>
    <row r="48" ht="16.5" customHeight="1">
      <c r="A48" s="7" t="s">
        <v>105</v>
      </c>
      <c r="B48" s="6">
        <v>150.0</v>
      </c>
      <c r="C48" s="5" t="s">
        <v>106</v>
      </c>
      <c r="D48" s="3" t="s">
        <v>107</v>
      </c>
    </row>
    <row r="49" ht="16.5" customHeight="1">
      <c r="A49" s="8" t="s">
        <v>108</v>
      </c>
      <c r="B49" s="6">
        <v>167.781</v>
      </c>
      <c r="C49" s="5" t="s">
        <v>106</v>
      </c>
      <c r="D49" s="3" t="s">
        <v>109</v>
      </c>
    </row>
    <row r="50" ht="16.5" customHeight="1">
      <c r="A50" s="5" t="s">
        <v>110</v>
      </c>
      <c r="B50" s="6">
        <v>166.311</v>
      </c>
      <c r="C50" s="5" t="s">
        <v>111</v>
      </c>
      <c r="D50" s="3" t="s">
        <v>112</v>
      </c>
    </row>
    <row r="51" ht="16.5" customHeight="1">
      <c r="A51" s="5" t="s">
        <v>113</v>
      </c>
      <c r="B51" s="6">
        <v>116.996</v>
      </c>
      <c r="C51" s="5" t="s">
        <v>111</v>
      </c>
      <c r="D51" s="3" t="s">
        <v>114</v>
      </c>
    </row>
    <row r="52" ht="16.5" customHeight="1">
      <c r="A52" s="5" t="s">
        <v>115</v>
      </c>
      <c r="B52" s="6">
        <v>106.597</v>
      </c>
      <c r="C52" s="5" t="s">
        <v>116</v>
      </c>
      <c r="D52" s="3" t="s">
        <v>117</v>
      </c>
    </row>
    <row r="53" ht="16.5" customHeight="1">
      <c r="A53" s="5" t="s">
        <v>118</v>
      </c>
      <c r="B53" s="6">
        <v>60.0</v>
      </c>
      <c r="C53" s="5" t="s">
        <v>116</v>
      </c>
      <c r="D53" s="3" t="s">
        <v>119</v>
      </c>
    </row>
    <row r="54" ht="16.5" customHeight="1">
      <c r="A54" s="5" t="s">
        <v>120</v>
      </c>
      <c r="B54" s="6">
        <v>52.5</v>
      </c>
      <c r="C54" s="5" t="s">
        <v>116</v>
      </c>
      <c r="D54" s="3" t="s">
        <v>121</v>
      </c>
    </row>
    <row r="55" ht="16.5" customHeight="1">
      <c r="A55" s="5" t="s">
        <v>122</v>
      </c>
      <c r="B55" s="6">
        <v>879.752</v>
      </c>
      <c r="C55" s="5" t="s">
        <v>116</v>
      </c>
      <c r="D55" s="3" t="s">
        <v>123</v>
      </c>
    </row>
    <row r="56" ht="16.5" customHeight="1">
      <c r="A56" s="5" t="s">
        <v>124</v>
      </c>
      <c r="B56" s="6">
        <v>108.0</v>
      </c>
      <c r="C56" s="5" t="s">
        <v>116</v>
      </c>
      <c r="D56" s="3" t="s">
        <v>125</v>
      </c>
    </row>
    <row r="57" ht="16.5" customHeight="1">
      <c r="A57" s="5" t="s">
        <v>126</v>
      </c>
      <c r="B57" s="6">
        <v>10.352</v>
      </c>
      <c r="C57" s="5" t="s">
        <v>116</v>
      </c>
      <c r="D57" s="3" t="s">
        <v>127</v>
      </c>
    </row>
    <row r="58" ht="16.5" customHeight="1">
      <c r="A58" s="5" t="s">
        <v>128</v>
      </c>
      <c r="B58" s="6">
        <v>390.0</v>
      </c>
      <c r="C58" s="5" t="s">
        <v>116</v>
      </c>
      <c r="D58" s="3" t="s">
        <v>129</v>
      </c>
    </row>
    <row r="59" ht="16.5" customHeight="1">
      <c r="A59" s="5" t="s">
        <v>130</v>
      </c>
      <c r="B59" s="6">
        <v>83.94</v>
      </c>
      <c r="C59" s="5" t="s">
        <v>116</v>
      </c>
      <c r="D59" s="3" t="s">
        <v>131</v>
      </c>
    </row>
    <row r="60" ht="16.5" customHeight="1">
      <c r="A60" s="5" t="s">
        <v>132</v>
      </c>
      <c r="B60" s="6">
        <v>232.131</v>
      </c>
      <c r="C60" s="5" t="s">
        <v>116</v>
      </c>
      <c r="D60" s="3" t="s">
        <v>133</v>
      </c>
    </row>
    <row r="61" ht="16.5" customHeight="1">
      <c r="A61" s="5" t="s">
        <v>134</v>
      </c>
      <c r="B61" s="6">
        <v>91.6</v>
      </c>
      <c r="C61" s="5" t="s">
        <v>116</v>
      </c>
      <c r="D61" s="3" t="s">
        <v>135</v>
      </c>
    </row>
    <row r="62" ht="16.5" customHeight="1">
      <c r="A62" s="5" t="s">
        <v>136</v>
      </c>
      <c r="B62" s="6">
        <v>25.678</v>
      </c>
      <c r="C62" s="5" t="s">
        <v>116</v>
      </c>
      <c r="D62" s="3" t="s">
        <v>137</v>
      </c>
    </row>
    <row r="63" ht="16.5" customHeight="1">
      <c r="A63" s="5" t="s">
        <v>138</v>
      </c>
      <c r="B63" s="6">
        <v>18.973</v>
      </c>
      <c r="C63" s="5" t="s">
        <v>116</v>
      </c>
      <c r="D63" s="3" t="s">
        <v>139</v>
      </c>
    </row>
    <row r="64" ht="16.5" customHeight="1">
      <c r="A64" s="5" t="s">
        <v>140</v>
      </c>
      <c r="B64" s="6">
        <v>11.855</v>
      </c>
      <c r="C64" s="5" t="s">
        <v>116</v>
      </c>
      <c r="D64" s="3" t="s">
        <v>141</v>
      </c>
    </row>
    <row r="65" ht="16.5" customHeight="1">
      <c r="A65" s="5" t="s">
        <v>142</v>
      </c>
      <c r="B65" s="6">
        <v>134.032</v>
      </c>
      <c r="C65" s="5" t="s">
        <v>116</v>
      </c>
      <c r="D65" s="3" t="s">
        <v>143</v>
      </c>
    </row>
    <row r="66" ht="16.5" customHeight="1">
      <c r="A66" s="5" t="s">
        <v>144</v>
      </c>
      <c r="B66" s="6">
        <v>10.043</v>
      </c>
      <c r="C66" s="5" t="s">
        <v>116</v>
      </c>
      <c r="D66" s="3" t="s">
        <v>145</v>
      </c>
    </row>
    <row r="67" ht="16.5" customHeight="1">
      <c r="A67" s="5" t="s">
        <v>146</v>
      </c>
      <c r="B67" s="6">
        <v>27.2</v>
      </c>
      <c r="C67" s="5" t="s">
        <v>116</v>
      </c>
      <c r="D67" s="3" t="s">
        <v>147</v>
      </c>
    </row>
    <row r="68" ht="16.5" customHeight="1">
      <c r="A68" s="5" t="s">
        <v>148</v>
      </c>
      <c r="B68" s="6">
        <v>55.0</v>
      </c>
      <c r="C68" s="5" t="s">
        <v>116</v>
      </c>
      <c r="D68" s="3" t="s">
        <v>149</v>
      </c>
    </row>
    <row r="69" ht="16.5" customHeight="1">
      <c r="A69" s="5" t="s">
        <v>150</v>
      </c>
      <c r="B69" s="6">
        <v>0.332</v>
      </c>
      <c r="C69" s="5" t="s">
        <v>151</v>
      </c>
      <c r="D69" s="3" t="s">
        <v>152</v>
      </c>
    </row>
    <row r="70" ht="16.5" customHeight="1">
      <c r="A70" s="5" t="s">
        <v>153</v>
      </c>
      <c r="B70" s="6">
        <v>11.182</v>
      </c>
      <c r="C70" s="5" t="s">
        <v>151</v>
      </c>
      <c r="D70" s="3" t="s">
        <v>154</v>
      </c>
    </row>
    <row r="71" ht="16.5" customHeight="1">
      <c r="A71" s="5" t="s">
        <v>155</v>
      </c>
      <c r="B71" s="6">
        <v>425.869</v>
      </c>
      <c r="C71" s="5" t="s">
        <v>156</v>
      </c>
      <c r="D71" s="3" t="s">
        <v>157</v>
      </c>
    </row>
    <row r="72" ht="16.5" customHeight="1">
      <c r="A72" s="5" t="s">
        <v>158</v>
      </c>
      <c r="B72" s="6">
        <v>171.13</v>
      </c>
      <c r="C72" s="5" t="s">
        <v>156</v>
      </c>
      <c r="D72" s="3" t="s">
        <v>159</v>
      </c>
    </row>
    <row r="73" ht="16.5" customHeight="1">
      <c r="A73" s="5" t="s">
        <v>160</v>
      </c>
      <c r="B73" s="6">
        <v>1553.226</v>
      </c>
      <c r="C73" s="5" t="s">
        <v>156</v>
      </c>
      <c r="D73" s="3" t="s">
        <v>161</v>
      </c>
    </row>
    <row r="74" ht="16.5" customHeight="1">
      <c r="A74" s="5"/>
      <c r="B74" s="6"/>
      <c r="C74" s="5"/>
      <c r="D74" s="5"/>
    </row>
    <row r="75" ht="16.5" customHeight="1">
      <c r="A75" s="5"/>
      <c r="B75" s="6"/>
      <c r="C75" s="5"/>
      <c r="D75" s="5"/>
    </row>
    <row r="76" ht="16.5" customHeight="1">
      <c r="A76" s="5"/>
      <c r="B76" s="6"/>
      <c r="C76" s="5"/>
      <c r="D76" s="5"/>
    </row>
    <row r="77" ht="16.5" customHeight="1">
      <c r="A77" s="5"/>
      <c r="B77" s="6"/>
      <c r="C77" s="5"/>
      <c r="D77" s="5"/>
    </row>
    <row r="78" ht="16.5" customHeight="1">
      <c r="A78" s="9"/>
      <c r="B78" s="10"/>
    </row>
    <row r="79" ht="16.5" customHeight="1">
      <c r="A79" s="9"/>
      <c r="B79" s="10"/>
    </row>
    <row r="80" ht="16.5" customHeight="1">
      <c r="A80" s="9"/>
      <c r="B80" s="10"/>
    </row>
    <row r="81" ht="16.5" customHeight="1">
      <c r="A81" s="9"/>
      <c r="B81" s="10"/>
    </row>
    <row r="82" ht="16.5" customHeight="1">
      <c r="A82" s="9"/>
      <c r="B82" s="10"/>
    </row>
    <row r="83" ht="16.5" customHeight="1">
      <c r="A83" s="9"/>
      <c r="B83" s="10"/>
    </row>
    <row r="84" ht="16.5" customHeight="1">
      <c r="A84" s="9"/>
      <c r="B84" s="10"/>
    </row>
    <row r="85" ht="16.5" customHeight="1">
      <c r="A85" s="9"/>
      <c r="B85" s="10"/>
    </row>
    <row r="86" ht="16.5" customHeight="1">
      <c r="A86" s="9"/>
      <c r="B86" s="10"/>
    </row>
    <row r="87" ht="16.5" customHeight="1">
      <c r="A87" s="9"/>
      <c r="B87" s="10"/>
    </row>
    <row r="88" ht="16.5" customHeight="1">
      <c r="A88" s="9"/>
      <c r="B88" s="10"/>
    </row>
    <row r="89" ht="16.5" customHeight="1">
      <c r="A89" s="9"/>
      <c r="B89" s="10"/>
    </row>
    <row r="90" ht="16.5" customHeight="1">
      <c r="A90" s="9"/>
      <c r="B90" s="10"/>
    </row>
    <row r="91" ht="16.5" customHeight="1">
      <c r="A91" s="9"/>
      <c r="B91" s="10"/>
    </row>
    <row r="92" ht="16.5" customHeight="1">
      <c r="A92" s="9"/>
      <c r="B92" s="10"/>
    </row>
    <row r="93" ht="16.5" customHeight="1">
      <c r="A93" s="9"/>
      <c r="B93" s="10"/>
    </row>
    <row r="94" ht="16.5" customHeight="1">
      <c r="A94" s="9"/>
      <c r="B94" s="10"/>
    </row>
    <row r="95" ht="16.5" customHeight="1">
      <c r="A95" s="9"/>
      <c r="B95" s="10"/>
    </row>
    <row r="96" ht="16.5" customHeight="1">
      <c r="A96" s="9"/>
      <c r="B96" s="10"/>
    </row>
    <row r="97" ht="16.5" customHeight="1">
      <c r="A97" s="9"/>
      <c r="B97" s="10"/>
    </row>
    <row r="98" ht="16.5" customHeight="1">
      <c r="A98" s="9"/>
      <c r="B98" s="10"/>
    </row>
    <row r="99" ht="16.5" customHeight="1">
      <c r="A99" s="9"/>
      <c r="B99" s="10"/>
    </row>
    <row r="100" ht="16.5" customHeight="1">
      <c r="A100" s="9"/>
      <c r="B100" s="10"/>
    </row>
    <row r="101" ht="16.5" customHeight="1">
      <c r="A101" s="9"/>
      <c r="B101" s="10"/>
    </row>
    <row r="102" ht="16.5" customHeight="1">
      <c r="B102" s="10"/>
    </row>
    <row r="103" ht="43.5" customHeight="1">
      <c r="B103" s="10"/>
    </row>
    <row r="104" ht="29.25" customHeight="1">
      <c r="B104" s="10"/>
    </row>
    <row r="105" ht="39.0" customHeight="1">
      <c r="B105" s="10"/>
    </row>
    <row r="106" ht="16.5" customHeight="1">
      <c r="B106" s="10"/>
    </row>
    <row r="107" ht="16.5" customHeight="1">
      <c r="B107" s="10"/>
    </row>
    <row r="108" ht="16.5" customHeight="1">
      <c r="B108" s="10"/>
    </row>
    <row r="109" ht="16.5" customHeight="1">
      <c r="B109" s="10"/>
    </row>
    <row r="110" ht="16.5" customHeight="1">
      <c r="B110" s="10"/>
    </row>
    <row r="111" ht="16.5" customHeight="1">
      <c r="B111" s="10"/>
    </row>
    <row r="112" ht="12.75" customHeight="1">
      <c r="B112" s="10"/>
    </row>
    <row r="113" ht="12.75" customHeight="1">
      <c r="B113" s="10"/>
    </row>
    <row r="114" ht="12.75" customHeight="1">
      <c r="B114" s="10"/>
    </row>
    <row r="115" ht="12.75" customHeight="1">
      <c r="B115" s="10"/>
    </row>
    <row r="116" ht="12.75" customHeight="1">
      <c r="B116" s="10"/>
    </row>
    <row r="117" ht="12.75" customHeight="1">
      <c r="B117" s="10"/>
    </row>
    <row r="118" ht="12.75" customHeight="1">
      <c r="B118" s="10"/>
    </row>
    <row r="119" ht="12.75" customHeight="1">
      <c r="B119" s="10"/>
    </row>
    <row r="120" ht="12.75" customHeight="1">
      <c r="B120" s="10"/>
    </row>
    <row r="121" ht="12.75" customHeight="1">
      <c r="B121" s="10"/>
    </row>
    <row r="122" ht="12.75" customHeight="1">
      <c r="B122" s="10"/>
    </row>
    <row r="123" ht="12.75" customHeight="1">
      <c r="B123" s="10"/>
    </row>
    <row r="124" ht="12.75" customHeight="1">
      <c r="B124" s="10"/>
    </row>
    <row r="125" ht="12.75" customHeight="1">
      <c r="B125" s="10"/>
    </row>
    <row r="126" ht="12.75" customHeight="1">
      <c r="B126" s="10"/>
    </row>
    <row r="127" ht="12.75" customHeight="1">
      <c r="B127" s="10"/>
    </row>
    <row r="128" ht="12.75" customHeight="1">
      <c r="B128" s="10"/>
    </row>
    <row r="129" ht="12.75" customHeight="1">
      <c r="B129" s="10"/>
    </row>
    <row r="130" ht="12.75" customHeight="1">
      <c r="B130" s="10"/>
    </row>
    <row r="131" ht="12.75" customHeight="1">
      <c r="B131" s="10"/>
    </row>
    <row r="132" ht="12.75" customHeight="1">
      <c r="B132" s="10"/>
    </row>
    <row r="133" ht="12.75" customHeight="1">
      <c r="B133" s="10"/>
    </row>
    <row r="134" ht="12.75" customHeight="1">
      <c r="B134" s="10"/>
    </row>
    <row r="135" ht="12.75" customHeight="1">
      <c r="B135" s="10"/>
    </row>
    <row r="136" ht="12.75" customHeight="1">
      <c r="B136" s="10"/>
    </row>
    <row r="137" ht="12.75" customHeight="1">
      <c r="B137" s="10"/>
    </row>
    <row r="138" ht="12.75" customHeight="1">
      <c r="B138" s="10"/>
    </row>
    <row r="139" ht="12.75" customHeight="1">
      <c r="B139" s="10"/>
    </row>
    <row r="140" ht="12.75" customHeight="1">
      <c r="B140" s="10"/>
    </row>
    <row r="141" ht="12.75" customHeight="1">
      <c r="B141" s="10"/>
    </row>
    <row r="142" ht="12.75" customHeight="1">
      <c r="B142" s="10"/>
    </row>
    <row r="143" ht="12.75" customHeight="1">
      <c r="B143" s="10"/>
    </row>
    <row r="144" ht="12.75" customHeight="1">
      <c r="B144" s="10"/>
    </row>
    <row r="145" ht="12.75" customHeight="1">
      <c r="B145" s="10"/>
    </row>
    <row r="146" ht="12.75" customHeight="1">
      <c r="B146" s="10"/>
    </row>
    <row r="147" ht="12.75" customHeight="1">
      <c r="B147" s="10"/>
    </row>
    <row r="148" ht="12.75" customHeight="1">
      <c r="B148" s="10"/>
    </row>
    <row r="149" ht="12.75" customHeight="1">
      <c r="B149" s="10"/>
    </row>
    <row r="150" ht="12.75" customHeight="1">
      <c r="B150" s="10"/>
    </row>
    <row r="151" ht="12.75" customHeight="1">
      <c r="B151" s="10"/>
    </row>
    <row r="152" ht="12.75" customHeight="1">
      <c r="B152" s="10"/>
    </row>
    <row r="153" ht="12.75" customHeight="1">
      <c r="B153" s="10"/>
    </row>
    <row r="154" ht="12.75" customHeight="1">
      <c r="B154" s="10"/>
    </row>
    <row r="155" ht="12.75" customHeight="1">
      <c r="B155" s="10"/>
    </row>
    <row r="156" ht="12.75" customHeight="1">
      <c r="B156" s="10"/>
    </row>
    <row r="157" ht="12.75" customHeight="1">
      <c r="B157" s="10"/>
    </row>
    <row r="158" ht="12.75" customHeight="1">
      <c r="B158" s="10"/>
    </row>
    <row r="159" ht="12.75" customHeight="1">
      <c r="B159" s="10"/>
    </row>
    <row r="160" ht="12.75" customHeight="1">
      <c r="B160" s="10"/>
    </row>
    <row r="161" ht="12.75" customHeight="1">
      <c r="B161" s="10"/>
    </row>
    <row r="162" ht="12.75" customHeight="1">
      <c r="B162" s="10"/>
    </row>
    <row r="163" ht="12.75" customHeight="1">
      <c r="B163" s="10"/>
    </row>
    <row r="164" ht="12.75" customHeight="1">
      <c r="B164" s="10"/>
    </row>
    <row r="165" ht="12.75" customHeight="1">
      <c r="B165" s="10"/>
    </row>
    <row r="166" ht="12.75" customHeight="1">
      <c r="B166" s="10"/>
    </row>
    <row r="167" ht="12.75" customHeight="1">
      <c r="B167" s="10"/>
    </row>
    <row r="168" ht="12.75" customHeight="1">
      <c r="B168" s="10"/>
    </row>
    <row r="169" ht="12.75" customHeight="1">
      <c r="B169" s="10"/>
    </row>
    <row r="170" ht="12.75" customHeight="1">
      <c r="B170" s="10"/>
    </row>
    <row r="171" ht="12.75" customHeight="1">
      <c r="B171" s="10"/>
    </row>
    <row r="172" ht="12.75" customHeight="1">
      <c r="B172" s="10"/>
    </row>
    <row r="173" ht="12.75" customHeight="1">
      <c r="B173" s="10"/>
    </row>
    <row r="174" ht="12.75" customHeight="1">
      <c r="B174" s="10"/>
    </row>
    <row r="175" ht="12.75" customHeight="1">
      <c r="B175" s="10"/>
    </row>
    <row r="176" ht="12.75" customHeight="1">
      <c r="B176" s="10"/>
    </row>
    <row r="177" ht="12.75" customHeight="1">
      <c r="B177" s="10"/>
    </row>
    <row r="178" ht="12.75" customHeight="1">
      <c r="B178" s="10"/>
    </row>
    <row r="179" ht="12.75" customHeight="1">
      <c r="B179" s="10"/>
    </row>
    <row r="180" ht="12.75" customHeight="1">
      <c r="B180" s="10"/>
    </row>
    <row r="181" ht="12.75" customHeight="1">
      <c r="B181" s="10"/>
    </row>
    <row r="182" ht="12.75" customHeight="1">
      <c r="B182" s="10"/>
    </row>
    <row r="183" ht="12.75" customHeight="1">
      <c r="B183" s="10"/>
    </row>
    <row r="184" ht="12.75" customHeight="1">
      <c r="B184" s="10"/>
    </row>
    <row r="185" ht="12.75" customHeight="1">
      <c r="B185" s="10"/>
    </row>
    <row r="186" ht="12.75" customHeight="1">
      <c r="B186" s="10"/>
    </row>
    <row r="187" ht="12.75" customHeight="1">
      <c r="B187" s="10"/>
    </row>
    <row r="188" ht="12.75" customHeight="1">
      <c r="B188" s="10"/>
    </row>
    <row r="189" ht="12.75" customHeight="1">
      <c r="B189" s="10"/>
    </row>
    <row r="190" ht="12.75" customHeight="1">
      <c r="B190" s="10"/>
    </row>
    <row r="191" ht="12.75" customHeight="1">
      <c r="B191" s="10"/>
    </row>
    <row r="192" ht="12.75" customHeight="1">
      <c r="B192" s="10"/>
    </row>
    <row r="193" ht="12.75" customHeight="1">
      <c r="B193" s="10"/>
    </row>
    <row r="194" ht="12.75" customHeight="1">
      <c r="B194" s="10"/>
    </row>
    <row r="195" ht="12.75" customHeight="1">
      <c r="B195" s="10"/>
    </row>
    <row r="196" ht="12.75" customHeight="1">
      <c r="B196" s="10"/>
    </row>
    <row r="197" ht="12.75" customHeight="1">
      <c r="B197" s="10"/>
    </row>
    <row r="198" ht="12.75" customHeight="1">
      <c r="B198" s="10"/>
    </row>
    <row r="199" ht="12.75" customHeight="1">
      <c r="B199" s="10"/>
    </row>
    <row r="200" ht="12.75" customHeight="1">
      <c r="B200" s="10"/>
    </row>
    <row r="201" ht="12.75" customHeight="1">
      <c r="B201" s="10"/>
    </row>
    <row r="202" ht="12.75" customHeight="1">
      <c r="B202" s="10"/>
    </row>
    <row r="203" ht="12.75" customHeight="1">
      <c r="B203" s="10"/>
    </row>
    <row r="204" ht="12.75" customHeight="1">
      <c r="B204" s="10"/>
    </row>
    <row r="205" ht="12.75" customHeight="1">
      <c r="B205" s="10"/>
    </row>
    <row r="206" ht="12.75" customHeight="1">
      <c r="B206" s="10"/>
    </row>
    <row r="207" ht="12.75" customHeight="1">
      <c r="B207" s="10"/>
    </row>
    <row r="208" ht="12.75" customHeight="1">
      <c r="B208" s="10"/>
    </row>
    <row r="209" ht="12.75" customHeight="1">
      <c r="B209" s="10"/>
    </row>
    <row r="210" ht="12.75" customHeight="1">
      <c r="B210" s="10"/>
    </row>
    <row r="211" ht="12.75" customHeight="1">
      <c r="B211" s="10"/>
    </row>
    <row r="212" ht="12.75" customHeight="1">
      <c r="B212" s="10"/>
    </row>
    <row r="213" ht="12.75" customHeight="1">
      <c r="B213" s="10"/>
    </row>
    <row r="214" ht="12.75" customHeight="1">
      <c r="B214" s="10"/>
    </row>
    <row r="215" ht="12.75" customHeight="1">
      <c r="B215" s="10"/>
    </row>
    <row r="216" ht="12.75" customHeight="1">
      <c r="B216" s="10"/>
    </row>
    <row r="217" ht="12.75" customHeight="1">
      <c r="B217" s="10"/>
    </row>
    <row r="218" ht="12.75" customHeight="1">
      <c r="B218" s="10"/>
    </row>
    <row r="219" ht="12.75" customHeight="1">
      <c r="B219" s="10"/>
    </row>
    <row r="220" ht="12.75" customHeight="1">
      <c r="B220" s="10"/>
    </row>
    <row r="221" ht="12.75" customHeight="1">
      <c r="B221" s="10"/>
    </row>
    <row r="222" ht="12.75" customHeight="1">
      <c r="B222" s="10"/>
    </row>
    <row r="223" ht="12.75" customHeight="1">
      <c r="B223" s="10"/>
    </row>
    <row r="224" ht="12.75" customHeight="1">
      <c r="B224" s="10"/>
    </row>
    <row r="225" ht="12.75" customHeight="1">
      <c r="B225" s="10"/>
    </row>
    <row r="226" ht="12.75" customHeight="1">
      <c r="B226" s="10"/>
    </row>
    <row r="227" ht="12.75" customHeight="1">
      <c r="B227" s="10"/>
    </row>
    <row r="228" ht="12.75" customHeight="1">
      <c r="B228" s="10"/>
    </row>
    <row r="229" ht="12.75" customHeight="1">
      <c r="B229" s="10"/>
    </row>
    <row r="230" ht="12.75" customHeight="1">
      <c r="B230" s="10"/>
    </row>
    <row r="231" ht="12.75" customHeight="1">
      <c r="B231" s="10"/>
    </row>
    <row r="232" ht="12.75" customHeight="1">
      <c r="B232" s="10"/>
    </row>
    <row r="233" ht="12.75" customHeight="1">
      <c r="B233" s="10"/>
    </row>
    <row r="234" ht="12.75" customHeight="1">
      <c r="B234" s="10"/>
    </row>
    <row r="235" ht="12.75" customHeight="1">
      <c r="B235" s="10"/>
    </row>
    <row r="236" ht="12.75" customHeight="1">
      <c r="B236" s="10"/>
    </row>
    <row r="237" ht="12.75" customHeight="1">
      <c r="B237" s="10"/>
    </row>
    <row r="238" ht="12.75" customHeight="1">
      <c r="B238" s="10"/>
    </row>
    <row r="239" ht="12.75" customHeight="1">
      <c r="B239" s="10"/>
    </row>
    <row r="240" ht="12.75" customHeight="1">
      <c r="B240" s="10"/>
    </row>
    <row r="241" ht="12.75" customHeight="1">
      <c r="B241" s="10"/>
    </row>
    <row r="242" ht="12.75" customHeight="1">
      <c r="B242" s="10"/>
    </row>
    <row r="243" ht="12.75" customHeight="1">
      <c r="B243" s="10"/>
    </row>
    <row r="244" ht="12.75" customHeight="1">
      <c r="B244" s="10"/>
    </row>
    <row r="245" ht="12.75" customHeight="1">
      <c r="B245" s="10"/>
    </row>
    <row r="246" ht="12.75" customHeight="1">
      <c r="B246" s="10"/>
    </row>
    <row r="247" ht="12.75" customHeight="1">
      <c r="B247" s="10"/>
    </row>
    <row r="248" ht="12.75" customHeight="1">
      <c r="B248" s="10"/>
    </row>
    <row r="249" ht="12.75" customHeight="1">
      <c r="B249" s="10"/>
    </row>
    <row r="250" ht="12.75" customHeight="1">
      <c r="B250" s="10"/>
    </row>
    <row r="251" ht="12.75" customHeight="1">
      <c r="B251" s="10"/>
    </row>
    <row r="252" ht="12.75" customHeight="1">
      <c r="B252" s="10"/>
    </row>
    <row r="253" ht="12.75" customHeight="1">
      <c r="B253" s="10"/>
    </row>
    <row r="254" ht="12.75" customHeight="1">
      <c r="B254" s="10"/>
    </row>
    <row r="255" ht="12.75" customHeight="1">
      <c r="B255" s="10"/>
    </row>
    <row r="256" ht="12.75" customHeight="1">
      <c r="B256" s="10"/>
    </row>
    <row r="257" ht="12.75" customHeight="1">
      <c r="B257" s="10"/>
    </row>
    <row r="258" ht="12.75" customHeight="1">
      <c r="B258" s="10"/>
    </row>
    <row r="259" ht="12.75" customHeight="1">
      <c r="B259" s="10"/>
    </row>
    <row r="260" ht="12.75" customHeight="1">
      <c r="B260" s="10"/>
    </row>
    <row r="261" ht="12.75" customHeight="1">
      <c r="B261" s="10"/>
    </row>
    <row r="262" ht="12.75" customHeight="1">
      <c r="B262" s="10"/>
    </row>
    <row r="263" ht="12.75" customHeight="1">
      <c r="B263" s="10"/>
    </row>
    <row r="264" ht="12.75" customHeight="1">
      <c r="B264" s="10"/>
    </row>
    <row r="265" ht="12.75" customHeight="1">
      <c r="B265" s="10"/>
    </row>
    <row r="266" ht="12.75" customHeight="1">
      <c r="B266" s="10"/>
    </row>
    <row r="267" ht="12.75" customHeight="1">
      <c r="B267" s="10"/>
    </row>
    <row r="268" ht="12.75" customHeight="1">
      <c r="B268" s="10"/>
    </row>
    <row r="269" ht="12.75" customHeight="1">
      <c r="B269" s="10"/>
    </row>
    <row r="270" ht="12.75" customHeight="1">
      <c r="B270" s="10"/>
    </row>
    <row r="271" ht="12.75" customHeight="1">
      <c r="B271" s="10"/>
    </row>
    <row r="272" ht="12.75" customHeight="1">
      <c r="B272" s="10"/>
    </row>
    <row r="273" ht="12.75" customHeight="1">
      <c r="B273" s="10"/>
    </row>
    <row r="274" ht="15.75" customHeight="1">
      <c r="B274" s="10"/>
    </row>
    <row r="275" ht="15.75" customHeight="1">
      <c r="B275" s="10"/>
    </row>
    <row r="276" ht="15.75" customHeight="1">
      <c r="B276" s="10"/>
    </row>
    <row r="277" ht="15.75" customHeight="1">
      <c r="B277" s="10"/>
    </row>
    <row r="278" ht="15.75" customHeight="1">
      <c r="B278" s="10"/>
    </row>
    <row r="279" ht="15.75" customHeight="1">
      <c r="B279" s="10"/>
    </row>
    <row r="280" ht="15.75" customHeight="1">
      <c r="B280" s="10"/>
    </row>
    <row r="281" ht="15.75" customHeight="1">
      <c r="B281" s="10"/>
    </row>
    <row r="282" ht="15.75" customHeight="1">
      <c r="B282" s="10"/>
    </row>
    <row r="283" ht="15.75" customHeight="1">
      <c r="B283" s="10"/>
    </row>
    <row r="284" ht="15.75" customHeight="1">
      <c r="B284" s="10"/>
    </row>
    <row r="285" ht="15.75" customHeight="1">
      <c r="B285" s="10"/>
    </row>
    <row r="286" ht="15.75" customHeight="1">
      <c r="B286" s="10"/>
    </row>
    <row r="287" ht="15.75" customHeight="1">
      <c r="B287" s="10"/>
    </row>
    <row r="288" ht="15.75" customHeight="1">
      <c r="B288" s="10"/>
    </row>
    <row r="289" ht="15.75" customHeight="1">
      <c r="B289" s="10"/>
    </row>
    <row r="290" ht="15.75" customHeight="1">
      <c r="B290" s="10"/>
    </row>
    <row r="291" ht="15.75" customHeight="1">
      <c r="B291" s="10"/>
    </row>
    <row r="292" ht="15.75" customHeight="1">
      <c r="B292" s="10"/>
    </row>
    <row r="293" ht="15.75" customHeight="1">
      <c r="B293" s="10"/>
    </row>
    <row r="294" ht="15.75" customHeight="1">
      <c r="B294" s="10"/>
    </row>
    <row r="295" ht="15.75" customHeight="1">
      <c r="B295" s="10"/>
    </row>
    <row r="296" ht="15.75" customHeight="1">
      <c r="B296" s="10"/>
    </row>
    <row r="297" ht="15.75" customHeight="1">
      <c r="B297" s="10"/>
    </row>
    <row r="298" ht="15.75" customHeight="1">
      <c r="B298" s="10"/>
    </row>
    <row r="299" ht="15.75" customHeight="1">
      <c r="B299" s="10"/>
    </row>
    <row r="300" ht="15.75" customHeight="1">
      <c r="B300" s="10"/>
    </row>
    <row r="301" ht="15.75" customHeight="1">
      <c r="B301" s="10"/>
    </row>
    <row r="302" ht="15.75" customHeight="1">
      <c r="B302" s="10"/>
    </row>
    <row r="303" ht="15.75" customHeight="1">
      <c r="B303" s="10"/>
    </row>
    <row r="304" ht="15.75" customHeight="1">
      <c r="B304" s="10"/>
    </row>
    <row r="305" ht="15.75" customHeight="1">
      <c r="B305" s="10"/>
    </row>
    <row r="306" ht="15.75" customHeight="1">
      <c r="B306" s="10"/>
    </row>
    <row r="307" ht="15.75" customHeight="1">
      <c r="B307" s="10"/>
    </row>
    <row r="308" ht="15.75" customHeight="1">
      <c r="B308" s="10"/>
    </row>
    <row r="309" ht="15.75" customHeight="1">
      <c r="B309" s="10"/>
    </row>
    <row r="310" ht="15.75" customHeight="1">
      <c r="B310" s="10"/>
    </row>
    <row r="311" ht="15.75" customHeight="1">
      <c r="B311" s="10"/>
    </row>
    <row r="312" ht="15.75" customHeight="1">
      <c r="B312" s="10"/>
    </row>
    <row r="313" ht="15.75" customHeight="1">
      <c r="B313" s="10"/>
    </row>
    <row r="314" ht="15.75" customHeight="1">
      <c r="B314" s="10"/>
    </row>
    <row r="315" ht="15.75" customHeight="1">
      <c r="B315" s="10"/>
    </row>
    <row r="316" ht="15.75" customHeight="1">
      <c r="B316" s="10"/>
    </row>
    <row r="317" ht="15.75" customHeight="1">
      <c r="B317" s="10"/>
    </row>
    <row r="318" ht="15.75" customHeight="1">
      <c r="B318" s="10"/>
    </row>
    <row r="319" ht="15.75" customHeight="1">
      <c r="B319" s="10"/>
    </row>
    <row r="320" ht="15.75" customHeight="1">
      <c r="B320" s="10"/>
    </row>
    <row r="321" ht="15.75" customHeight="1">
      <c r="B321" s="10"/>
    </row>
    <row r="322" ht="15.75" customHeight="1">
      <c r="B322" s="10"/>
    </row>
    <row r="323" ht="15.75" customHeight="1">
      <c r="B323" s="10"/>
    </row>
    <row r="324" ht="15.75" customHeight="1">
      <c r="B324" s="10"/>
    </row>
    <row r="325" ht="15.75" customHeight="1">
      <c r="B325" s="10"/>
    </row>
    <row r="326" ht="15.75" customHeight="1">
      <c r="B326" s="10"/>
    </row>
    <row r="327" ht="15.75" customHeight="1">
      <c r="B327" s="10"/>
    </row>
    <row r="328" ht="15.75" customHeight="1">
      <c r="B328" s="10"/>
    </row>
    <row r="329" ht="15.75" customHeight="1">
      <c r="B329" s="10"/>
    </row>
    <row r="330" ht="15.75" customHeight="1">
      <c r="B330" s="10"/>
    </row>
    <row r="331" ht="15.75" customHeight="1">
      <c r="B331" s="10"/>
    </row>
    <row r="332" ht="15.75" customHeight="1">
      <c r="B332" s="10"/>
    </row>
    <row r="333" ht="15.75" customHeight="1">
      <c r="B333" s="10"/>
    </row>
    <row r="334" ht="15.75" customHeight="1">
      <c r="B334" s="10"/>
    </row>
    <row r="335" ht="15.75" customHeight="1">
      <c r="B335" s="10"/>
    </row>
    <row r="336" ht="15.75" customHeight="1">
      <c r="B336" s="10"/>
    </row>
    <row r="337" ht="15.75" customHeight="1">
      <c r="B337" s="10"/>
    </row>
    <row r="338" ht="15.75" customHeight="1">
      <c r="B338" s="10"/>
    </row>
    <row r="339" ht="15.75" customHeight="1">
      <c r="B339" s="10"/>
    </row>
    <row r="340" ht="15.75" customHeight="1">
      <c r="B340" s="10"/>
    </row>
    <row r="341" ht="15.75" customHeight="1">
      <c r="B341" s="10"/>
    </row>
    <row r="342" ht="15.75" customHeight="1">
      <c r="B342" s="10"/>
    </row>
    <row r="343" ht="15.75" customHeight="1">
      <c r="B343" s="10"/>
    </row>
    <row r="344" ht="15.75" customHeight="1">
      <c r="B344" s="10"/>
    </row>
    <row r="345" ht="15.75" customHeight="1">
      <c r="B345" s="10"/>
    </row>
    <row r="346" ht="15.75" customHeight="1">
      <c r="B346" s="10"/>
    </row>
    <row r="347" ht="15.75" customHeight="1">
      <c r="B347" s="10"/>
    </row>
    <row r="348" ht="15.75" customHeight="1">
      <c r="B348" s="10"/>
    </row>
    <row r="349" ht="15.75" customHeight="1">
      <c r="B349" s="10"/>
    </row>
    <row r="350" ht="15.75" customHeight="1">
      <c r="B350" s="10"/>
    </row>
    <row r="351" ht="15.75" customHeight="1">
      <c r="B351" s="10"/>
    </row>
    <row r="352" ht="15.75" customHeight="1">
      <c r="B352" s="10"/>
    </row>
    <row r="353" ht="15.75" customHeight="1">
      <c r="B353" s="10"/>
    </row>
    <row r="354" ht="15.75" customHeight="1">
      <c r="B354" s="10"/>
    </row>
    <row r="355" ht="15.75" customHeight="1">
      <c r="B355" s="10"/>
    </row>
    <row r="356" ht="15.75" customHeight="1">
      <c r="B356" s="10"/>
    </row>
    <row r="357" ht="15.75" customHeight="1">
      <c r="B357" s="10"/>
    </row>
    <row r="358" ht="15.75" customHeight="1">
      <c r="B358" s="10"/>
    </row>
    <row r="359" ht="15.75" customHeight="1">
      <c r="B359" s="10"/>
    </row>
    <row r="360" ht="15.75" customHeight="1">
      <c r="B360" s="10"/>
    </row>
    <row r="361" ht="15.75" customHeight="1">
      <c r="B361" s="10"/>
    </row>
    <row r="362" ht="15.75" customHeight="1">
      <c r="B362" s="10"/>
    </row>
    <row r="363" ht="15.75" customHeight="1">
      <c r="B363" s="10"/>
    </row>
    <row r="364" ht="15.75" customHeight="1">
      <c r="B364" s="10"/>
    </row>
    <row r="365" ht="15.75" customHeight="1">
      <c r="B365" s="10"/>
    </row>
    <row r="366" ht="15.75" customHeight="1">
      <c r="B366" s="10"/>
    </row>
    <row r="367" ht="15.75" customHeight="1">
      <c r="B367" s="10"/>
    </row>
    <row r="368" ht="15.75" customHeight="1">
      <c r="B368" s="10"/>
    </row>
    <row r="369" ht="15.75" customHeight="1">
      <c r="B369" s="10"/>
    </row>
    <row r="370" ht="15.75" customHeight="1">
      <c r="B370" s="10"/>
    </row>
    <row r="371" ht="15.75" customHeight="1">
      <c r="B371" s="10"/>
    </row>
    <row r="372" ht="15.75" customHeight="1">
      <c r="B372" s="10"/>
    </row>
    <row r="373" ht="15.75" customHeight="1">
      <c r="B373" s="10"/>
    </row>
    <row r="374" ht="15.75" customHeight="1">
      <c r="B374" s="10"/>
    </row>
    <row r="375" ht="15.75" customHeight="1">
      <c r="B375" s="10"/>
    </row>
    <row r="376" ht="15.75" customHeight="1">
      <c r="B376" s="10"/>
    </row>
    <row r="377" ht="15.75" customHeight="1">
      <c r="B377" s="10"/>
    </row>
    <row r="378" ht="15.75" customHeight="1">
      <c r="B378" s="10"/>
    </row>
    <row r="379" ht="15.75" customHeight="1">
      <c r="B379" s="10"/>
    </row>
    <row r="380" ht="15.75" customHeight="1">
      <c r="B380" s="10"/>
    </row>
    <row r="381" ht="15.75" customHeight="1">
      <c r="B381" s="10"/>
    </row>
    <row r="382" ht="15.75" customHeight="1">
      <c r="B382" s="10"/>
    </row>
    <row r="383" ht="15.75" customHeight="1">
      <c r="B383" s="10"/>
    </row>
    <row r="384" ht="15.75" customHeight="1">
      <c r="B384" s="10"/>
    </row>
    <row r="385" ht="15.75" customHeight="1">
      <c r="B385" s="10"/>
    </row>
    <row r="386" ht="15.75" customHeight="1">
      <c r="B386" s="10"/>
    </row>
    <row r="387" ht="15.75" customHeight="1">
      <c r="B387" s="10"/>
    </row>
    <row r="388" ht="15.75" customHeight="1">
      <c r="B388" s="10"/>
    </row>
    <row r="389" ht="15.75" customHeight="1">
      <c r="B389" s="10"/>
    </row>
    <row r="390" ht="15.75" customHeight="1">
      <c r="B390" s="10"/>
    </row>
    <row r="391" ht="15.75" customHeight="1">
      <c r="B391" s="10"/>
    </row>
    <row r="392" ht="15.75" customHeight="1">
      <c r="B392" s="10"/>
    </row>
    <row r="393" ht="15.75" customHeight="1">
      <c r="B393" s="10"/>
    </row>
    <row r="394" ht="15.75" customHeight="1">
      <c r="B394" s="10"/>
    </row>
    <row r="395" ht="15.75" customHeight="1">
      <c r="B395" s="10"/>
    </row>
    <row r="396" ht="15.75" customHeight="1">
      <c r="B396" s="10"/>
    </row>
    <row r="397" ht="15.75" customHeight="1">
      <c r="B397" s="10"/>
    </row>
    <row r="398" ht="15.75" customHeight="1">
      <c r="B398" s="10"/>
    </row>
    <row r="399" ht="15.75" customHeight="1">
      <c r="B399" s="10"/>
    </row>
    <row r="400" ht="15.75" customHeight="1">
      <c r="B400" s="10"/>
    </row>
    <row r="401" ht="15.75" customHeight="1">
      <c r="B401" s="10"/>
    </row>
    <row r="402" ht="15.75" customHeight="1">
      <c r="B402" s="10"/>
    </row>
    <row r="403" ht="15.75" customHeight="1">
      <c r="B403" s="10"/>
    </row>
    <row r="404" ht="15.75" customHeight="1">
      <c r="B404" s="10"/>
    </row>
    <row r="405" ht="15.75" customHeight="1">
      <c r="B405" s="10"/>
    </row>
    <row r="406" ht="15.75" customHeight="1">
      <c r="B406" s="10"/>
    </row>
    <row r="407" ht="15.75" customHeight="1">
      <c r="B407" s="10"/>
    </row>
    <row r="408" ht="15.75" customHeight="1">
      <c r="B408" s="10"/>
    </row>
    <row r="409" ht="15.75" customHeight="1">
      <c r="B409" s="10"/>
    </row>
    <row r="410" ht="15.75" customHeight="1">
      <c r="B410" s="10"/>
    </row>
    <row r="411" ht="15.75" customHeight="1">
      <c r="B411" s="10"/>
    </row>
    <row r="412" ht="15.75" customHeight="1">
      <c r="B412" s="10"/>
    </row>
    <row r="413" ht="15.75" customHeight="1">
      <c r="B413" s="10"/>
    </row>
    <row r="414" ht="15.75" customHeight="1">
      <c r="B414" s="10"/>
    </row>
    <row r="415" ht="15.75" customHeight="1">
      <c r="B415" s="10"/>
    </row>
    <row r="416" ht="15.75" customHeight="1">
      <c r="B416" s="10"/>
    </row>
    <row r="417" ht="15.75" customHeight="1">
      <c r="B417" s="10"/>
    </row>
    <row r="418" ht="15.75" customHeight="1">
      <c r="B418" s="10"/>
    </row>
    <row r="419" ht="15.75" customHeight="1">
      <c r="B419" s="10"/>
    </row>
    <row r="420" ht="15.75" customHeight="1">
      <c r="B420" s="10"/>
    </row>
    <row r="421" ht="15.75" customHeight="1">
      <c r="B421" s="10"/>
    </row>
    <row r="422" ht="15.75" customHeight="1">
      <c r="B422" s="10"/>
    </row>
    <row r="423" ht="15.75" customHeight="1">
      <c r="B423" s="10"/>
    </row>
    <row r="424" ht="15.75" customHeight="1">
      <c r="B424" s="10"/>
    </row>
    <row r="425" ht="15.75" customHeight="1">
      <c r="B425" s="10"/>
    </row>
    <row r="426" ht="15.75" customHeight="1">
      <c r="B426" s="10"/>
    </row>
    <row r="427" ht="15.75" customHeight="1">
      <c r="B427" s="10"/>
    </row>
    <row r="428" ht="15.75" customHeight="1">
      <c r="B428" s="10"/>
    </row>
    <row r="429" ht="15.75" customHeight="1">
      <c r="B429" s="10"/>
    </row>
    <row r="430" ht="15.75" customHeight="1">
      <c r="B430" s="10"/>
    </row>
    <row r="431" ht="15.75" customHeight="1">
      <c r="B431" s="10"/>
    </row>
    <row r="432" ht="15.75" customHeight="1">
      <c r="B432" s="10"/>
    </row>
    <row r="433" ht="15.75" customHeight="1">
      <c r="B433" s="10"/>
    </row>
    <row r="434" ht="15.75" customHeight="1">
      <c r="B434" s="10"/>
    </row>
    <row r="435" ht="15.75" customHeight="1">
      <c r="B435" s="10"/>
    </row>
    <row r="436" ht="15.75" customHeight="1">
      <c r="B436" s="10"/>
    </row>
    <row r="437" ht="15.75" customHeight="1">
      <c r="B437" s="10"/>
    </row>
    <row r="438" ht="15.75" customHeight="1">
      <c r="B438" s="10"/>
    </row>
    <row r="439" ht="15.75" customHeight="1">
      <c r="B439" s="10"/>
    </row>
    <row r="440" ht="15.75" customHeight="1">
      <c r="B440" s="10"/>
    </row>
    <row r="441" ht="15.75" customHeight="1">
      <c r="B441" s="10"/>
    </row>
    <row r="442" ht="15.75" customHeight="1">
      <c r="B442" s="10"/>
    </row>
    <row r="443" ht="15.75" customHeight="1">
      <c r="B443" s="10"/>
    </row>
    <row r="444" ht="15.75" customHeight="1">
      <c r="B444" s="10"/>
    </row>
    <row r="445" ht="15.75" customHeight="1">
      <c r="B445" s="10"/>
    </row>
    <row r="446" ht="15.75" customHeight="1">
      <c r="B446" s="10"/>
    </row>
    <row r="447" ht="15.75" customHeight="1">
      <c r="B447" s="10"/>
    </row>
    <row r="448" ht="15.75" customHeight="1">
      <c r="B448" s="10"/>
    </row>
    <row r="449" ht="15.75" customHeight="1">
      <c r="B449" s="10"/>
    </row>
    <row r="450" ht="15.75" customHeight="1">
      <c r="B450" s="10"/>
    </row>
    <row r="451" ht="15.75" customHeight="1">
      <c r="B451" s="10"/>
    </row>
    <row r="452" ht="15.75" customHeight="1">
      <c r="B452" s="10"/>
    </row>
    <row r="453" ht="15.75" customHeight="1">
      <c r="B453" s="10"/>
    </row>
    <row r="454" ht="15.75" customHeight="1">
      <c r="B454" s="10"/>
    </row>
    <row r="455" ht="15.75" customHeight="1">
      <c r="B455" s="10"/>
    </row>
    <row r="456" ht="15.75" customHeight="1">
      <c r="B456" s="10"/>
    </row>
    <row r="457" ht="15.75" customHeight="1">
      <c r="B457" s="10"/>
    </row>
    <row r="458" ht="15.75" customHeight="1">
      <c r="B458" s="10"/>
    </row>
    <row r="459" ht="15.75" customHeight="1">
      <c r="B459" s="10"/>
    </row>
    <row r="460" ht="15.75" customHeight="1">
      <c r="B460" s="10"/>
    </row>
    <row r="461" ht="15.75" customHeight="1">
      <c r="B461" s="10"/>
    </row>
    <row r="462" ht="15.75" customHeight="1">
      <c r="B462" s="10"/>
    </row>
    <row r="463" ht="15.75" customHeight="1">
      <c r="B463" s="10"/>
    </row>
    <row r="464" ht="15.75" customHeight="1">
      <c r="B464" s="10"/>
    </row>
    <row r="465" ht="15.75" customHeight="1">
      <c r="B465" s="10"/>
    </row>
    <row r="466" ht="15.75" customHeight="1">
      <c r="B466" s="10"/>
    </row>
    <row r="467" ht="15.75" customHeight="1">
      <c r="B467" s="10"/>
    </row>
    <row r="468" ht="15.75" customHeight="1">
      <c r="B468" s="10"/>
    </row>
    <row r="469" ht="15.75" customHeight="1">
      <c r="B469" s="10"/>
    </row>
    <row r="470" ht="15.75" customHeight="1">
      <c r="B470" s="10"/>
    </row>
    <row r="471" ht="15.75" customHeight="1">
      <c r="B471" s="10"/>
    </row>
    <row r="472" ht="15.75" customHeight="1">
      <c r="B472" s="10"/>
    </row>
    <row r="473" ht="15.75" customHeight="1">
      <c r="B473" s="10"/>
    </row>
    <row r="474" ht="15.75" customHeight="1">
      <c r="B474" s="10"/>
    </row>
    <row r="475" ht="15.75" customHeight="1">
      <c r="B475" s="10"/>
    </row>
    <row r="476" ht="15.75" customHeight="1">
      <c r="B476" s="10"/>
    </row>
    <row r="477" ht="15.75" customHeight="1">
      <c r="B477" s="10"/>
    </row>
    <row r="478" ht="15.75" customHeight="1">
      <c r="B478" s="10"/>
    </row>
    <row r="479" ht="15.75" customHeight="1">
      <c r="B479" s="10"/>
    </row>
    <row r="480" ht="15.75" customHeight="1">
      <c r="B480" s="10"/>
    </row>
    <row r="481" ht="15.75" customHeight="1">
      <c r="B481" s="10"/>
    </row>
    <row r="482" ht="15.75" customHeight="1">
      <c r="B482" s="10"/>
    </row>
    <row r="483" ht="15.75" customHeight="1">
      <c r="B483" s="10"/>
    </row>
    <row r="484" ht="15.75" customHeight="1">
      <c r="B484" s="10"/>
    </row>
    <row r="485" ht="15.75" customHeight="1">
      <c r="B485" s="10"/>
    </row>
    <row r="486" ht="15.75" customHeight="1">
      <c r="B486" s="10"/>
    </row>
    <row r="487" ht="15.75" customHeight="1">
      <c r="B487" s="10"/>
    </row>
    <row r="488" ht="15.75" customHeight="1">
      <c r="B488" s="10"/>
    </row>
    <row r="489" ht="15.75" customHeight="1">
      <c r="B489" s="10"/>
    </row>
    <row r="490" ht="15.75" customHeight="1">
      <c r="B490" s="10"/>
    </row>
    <row r="491" ht="15.75" customHeight="1">
      <c r="B491" s="10"/>
    </row>
    <row r="492" ht="15.75" customHeight="1">
      <c r="B492" s="10"/>
    </row>
    <row r="493" ht="15.75" customHeight="1">
      <c r="B493" s="10"/>
    </row>
    <row r="494" ht="15.75" customHeight="1">
      <c r="B494" s="10"/>
    </row>
    <row r="495" ht="15.75" customHeight="1">
      <c r="B495" s="10"/>
    </row>
    <row r="496" ht="15.75" customHeight="1">
      <c r="B496" s="10"/>
    </row>
    <row r="497" ht="15.75" customHeight="1">
      <c r="B497" s="10"/>
    </row>
    <row r="498" ht="15.75" customHeight="1">
      <c r="B498" s="10"/>
    </row>
    <row r="499" ht="15.75" customHeight="1">
      <c r="B499" s="10"/>
    </row>
    <row r="500" ht="15.75" customHeight="1">
      <c r="B500" s="10"/>
    </row>
    <row r="501" ht="15.75" customHeight="1">
      <c r="B501" s="10"/>
    </row>
    <row r="502" ht="15.75" customHeight="1">
      <c r="B502" s="10"/>
    </row>
    <row r="503" ht="15.75" customHeight="1">
      <c r="B503" s="10"/>
    </row>
    <row r="504" ht="15.75" customHeight="1">
      <c r="B504" s="10"/>
    </row>
    <row r="505" ht="15.75" customHeight="1">
      <c r="B505" s="10"/>
    </row>
    <row r="506" ht="15.75" customHeight="1">
      <c r="B506" s="10"/>
    </row>
    <row r="507" ht="15.75" customHeight="1">
      <c r="B507" s="10"/>
    </row>
    <row r="508" ht="15.75" customHeight="1">
      <c r="B508" s="10"/>
    </row>
    <row r="509" ht="15.75" customHeight="1">
      <c r="B509" s="10"/>
    </row>
    <row r="510" ht="15.75" customHeight="1">
      <c r="B510" s="10"/>
    </row>
    <row r="511" ht="15.75" customHeight="1">
      <c r="B511" s="10"/>
    </row>
    <row r="512" ht="15.75" customHeight="1">
      <c r="B512" s="10"/>
    </row>
    <row r="513" ht="15.75" customHeight="1">
      <c r="B513" s="10"/>
    </row>
    <row r="514" ht="15.75" customHeight="1">
      <c r="B514" s="10"/>
    </row>
    <row r="515" ht="15.75" customHeight="1">
      <c r="B515" s="10"/>
    </row>
    <row r="516" ht="15.75" customHeight="1">
      <c r="B516" s="10"/>
    </row>
    <row r="517" ht="15.75" customHeight="1">
      <c r="B517" s="10"/>
    </row>
    <row r="518" ht="15.75" customHeight="1">
      <c r="B518" s="10"/>
    </row>
    <row r="519" ht="15.75" customHeight="1">
      <c r="B519" s="10"/>
    </row>
    <row r="520" ht="15.75" customHeight="1">
      <c r="B520" s="10"/>
    </row>
    <row r="521" ht="15.75" customHeight="1">
      <c r="B521" s="10"/>
    </row>
    <row r="522" ht="15.75" customHeight="1">
      <c r="B522" s="10"/>
    </row>
    <row r="523" ht="15.75" customHeight="1">
      <c r="B523" s="10"/>
    </row>
    <row r="524" ht="15.75" customHeight="1">
      <c r="B524" s="10"/>
    </row>
    <row r="525" ht="15.75" customHeight="1">
      <c r="B525" s="10"/>
    </row>
    <row r="526" ht="15.75" customHeight="1">
      <c r="B526" s="10"/>
    </row>
    <row r="527" ht="15.75" customHeight="1">
      <c r="B527" s="10"/>
    </row>
    <row r="528" ht="15.75" customHeight="1">
      <c r="B528" s="10"/>
    </row>
    <row r="529" ht="15.75" customHeight="1">
      <c r="B529" s="10"/>
    </row>
    <row r="530" ht="15.75" customHeight="1">
      <c r="B530" s="10"/>
    </row>
    <row r="531" ht="15.75" customHeight="1">
      <c r="B531" s="10"/>
    </row>
    <row r="532" ht="15.75" customHeight="1">
      <c r="B532" s="10"/>
    </row>
    <row r="533" ht="15.75" customHeight="1">
      <c r="B533" s="10"/>
    </row>
    <row r="534" ht="15.75" customHeight="1">
      <c r="B534" s="10"/>
    </row>
    <row r="535" ht="15.75" customHeight="1">
      <c r="B535" s="10"/>
    </row>
    <row r="536" ht="15.75" customHeight="1">
      <c r="B536" s="10"/>
    </row>
    <row r="537" ht="15.75" customHeight="1">
      <c r="B537" s="10"/>
    </row>
    <row r="538" ht="15.75" customHeight="1">
      <c r="B538" s="10"/>
    </row>
    <row r="539" ht="15.75" customHeight="1">
      <c r="B539" s="10"/>
    </row>
    <row r="540" ht="15.75" customHeight="1">
      <c r="B540" s="10"/>
    </row>
    <row r="541" ht="15.75" customHeight="1">
      <c r="B541" s="10"/>
    </row>
    <row r="542" ht="15.75" customHeight="1">
      <c r="B542" s="10"/>
    </row>
    <row r="543" ht="15.75" customHeight="1">
      <c r="B543" s="10"/>
    </row>
    <row r="544" ht="15.75" customHeight="1">
      <c r="B544" s="10"/>
    </row>
    <row r="545" ht="15.75" customHeight="1">
      <c r="B545" s="10"/>
    </row>
    <row r="546" ht="15.75" customHeight="1">
      <c r="B546" s="10"/>
    </row>
    <row r="547" ht="15.75" customHeight="1">
      <c r="B547" s="10"/>
    </row>
    <row r="548" ht="15.75" customHeight="1">
      <c r="B548" s="10"/>
    </row>
    <row r="549" ht="15.75" customHeight="1">
      <c r="B549" s="10"/>
    </row>
    <row r="550" ht="15.75" customHeight="1">
      <c r="B550" s="10"/>
    </row>
    <row r="551" ht="15.75" customHeight="1">
      <c r="B551" s="10"/>
    </row>
    <row r="552" ht="15.75" customHeight="1">
      <c r="B552" s="10"/>
    </row>
    <row r="553" ht="15.75" customHeight="1">
      <c r="B553" s="10"/>
    </row>
    <row r="554" ht="15.75" customHeight="1">
      <c r="B554" s="10"/>
    </row>
    <row r="555" ht="15.75" customHeight="1">
      <c r="B555" s="10"/>
    </row>
    <row r="556" ht="15.75" customHeight="1">
      <c r="B556" s="10"/>
    </row>
    <row r="557" ht="15.75" customHeight="1">
      <c r="B557" s="10"/>
    </row>
    <row r="558" ht="15.75" customHeight="1">
      <c r="B558" s="10"/>
    </row>
    <row r="559" ht="15.75" customHeight="1">
      <c r="B559" s="10"/>
    </row>
    <row r="560" ht="15.75" customHeight="1">
      <c r="B560" s="10"/>
    </row>
    <row r="561" ht="15.75" customHeight="1">
      <c r="B561" s="10"/>
    </row>
    <row r="562" ht="15.75" customHeight="1">
      <c r="B562" s="10"/>
    </row>
    <row r="563" ht="15.75" customHeight="1">
      <c r="B563" s="10"/>
    </row>
    <row r="564" ht="15.75" customHeight="1">
      <c r="B564" s="10"/>
    </row>
    <row r="565" ht="15.75" customHeight="1">
      <c r="B565" s="10"/>
    </row>
    <row r="566" ht="15.75" customHeight="1">
      <c r="B566" s="10"/>
    </row>
    <row r="567" ht="15.75" customHeight="1">
      <c r="B567" s="10"/>
    </row>
    <row r="568" ht="15.75" customHeight="1">
      <c r="B568" s="10"/>
    </row>
    <row r="569" ht="15.75" customHeight="1">
      <c r="B569" s="10"/>
    </row>
    <row r="570" ht="15.75" customHeight="1">
      <c r="B570" s="10"/>
    </row>
    <row r="571" ht="15.75" customHeight="1">
      <c r="B571" s="10"/>
    </row>
    <row r="572" ht="15.75" customHeight="1">
      <c r="B572" s="10"/>
    </row>
    <row r="573" ht="15.75" customHeight="1">
      <c r="B573" s="10"/>
    </row>
    <row r="574" ht="15.75" customHeight="1">
      <c r="B574" s="10"/>
    </row>
    <row r="575" ht="15.75" customHeight="1">
      <c r="B575" s="10"/>
    </row>
    <row r="576" ht="15.75" customHeight="1">
      <c r="B576" s="10"/>
    </row>
    <row r="577" ht="15.75" customHeight="1">
      <c r="B577" s="10"/>
    </row>
    <row r="578" ht="15.75" customHeight="1">
      <c r="B578" s="10"/>
    </row>
    <row r="579" ht="15.75" customHeight="1">
      <c r="B579" s="10"/>
    </row>
    <row r="580" ht="15.75" customHeight="1">
      <c r="B580" s="10"/>
    </row>
    <row r="581" ht="15.75" customHeight="1">
      <c r="B581" s="10"/>
    </row>
    <row r="582" ht="15.75" customHeight="1">
      <c r="B582" s="10"/>
    </row>
    <row r="583" ht="15.75" customHeight="1">
      <c r="B583" s="10"/>
    </row>
    <row r="584" ht="15.75" customHeight="1">
      <c r="B584" s="10"/>
    </row>
    <row r="585" ht="15.75" customHeight="1">
      <c r="B585" s="10"/>
    </row>
    <row r="586" ht="15.75" customHeight="1">
      <c r="B586" s="10"/>
    </row>
    <row r="587" ht="15.75" customHeight="1">
      <c r="B587" s="10"/>
    </row>
    <row r="588" ht="15.75" customHeight="1">
      <c r="B588" s="10"/>
    </row>
    <row r="589" ht="15.75" customHeight="1">
      <c r="B589" s="10"/>
    </row>
    <row r="590" ht="15.75" customHeight="1">
      <c r="B590" s="10"/>
    </row>
    <row r="591" ht="15.75" customHeight="1">
      <c r="B591" s="10"/>
    </row>
    <row r="592" ht="15.75" customHeight="1">
      <c r="B592" s="10"/>
    </row>
    <row r="593" ht="15.75" customHeight="1">
      <c r="B593" s="10"/>
    </row>
    <row r="594" ht="15.75" customHeight="1">
      <c r="B594" s="10"/>
    </row>
    <row r="595" ht="15.75" customHeight="1">
      <c r="B595" s="10"/>
    </row>
    <row r="596" ht="15.75" customHeight="1">
      <c r="B596" s="10"/>
    </row>
    <row r="597" ht="15.75" customHeight="1">
      <c r="B597" s="10"/>
    </row>
    <row r="598" ht="15.75" customHeight="1">
      <c r="B598" s="10"/>
    </row>
    <row r="599" ht="15.75" customHeight="1">
      <c r="B599" s="10"/>
    </row>
    <row r="600" ht="15.75" customHeight="1">
      <c r="B600" s="10"/>
    </row>
    <row r="601" ht="15.75" customHeight="1">
      <c r="B601" s="10"/>
    </row>
    <row r="602" ht="15.75" customHeight="1">
      <c r="B602" s="10"/>
    </row>
    <row r="603" ht="15.75" customHeight="1">
      <c r="B603" s="10"/>
    </row>
    <row r="604" ht="15.75" customHeight="1">
      <c r="B604" s="10"/>
    </row>
    <row r="605" ht="15.75" customHeight="1">
      <c r="B605" s="10"/>
    </row>
    <row r="606" ht="15.75" customHeight="1">
      <c r="B606" s="10"/>
    </row>
    <row r="607" ht="15.75" customHeight="1">
      <c r="B607" s="10"/>
    </row>
    <row r="608" ht="15.75" customHeight="1">
      <c r="B608" s="10"/>
    </row>
    <row r="609" ht="15.75" customHeight="1">
      <c r="B609" s="10"/>
    </row>
    <row r="610" ht="15.75" customHeight="1">
      <c r="B610" s="10"/>
    </row>
    <row r="611" ht="15.75" customHeight="1">
      <c r="B611" s="10"/>
    </row>
    <row r="612" ht="15.75" customHeight="1">
      <c r="B612" s="10"/>
    </row>
    <row r="613" ht="15.75" customHeight="1">
      <c r="B613" s="10"/>
    </row>
    <row r="614" ht="15.75" customHeight="1">
      <c r="B614" s="10"/>
    </row>
    <row r="615" ht="15.75" customHeight="1">
      <c r="B615" s="10"/>
    </row>
    <row r="616" ht="15.75" customHeight="1">
      <c r="B616" s="10"/>
    </row>
    <row r="617" ht="15.75" customHeight="1">
      <c r="B617" s="10"/>
    </row>
    <row r="618" ht="15.75" customHeight="1">
      <c r="B618" s="10"/>
    </row>
    <row r="619" ht="15.75" customHeight="1">
      <c r="B619" s="10"/>
    </row>
    <row r="620" ht="15.75" customHeight="1">
      <c r="B620" s="10"/>
    </row>
    <row r="621" ht="15.75" customHeight="1">
      <c r="B621" s="10"/>
    </row>
    <row r="622" ht="15.75" customHeight="1">
      <c r="B622" s="10"/>
    </row>
    <row r="623" ht="15.75" customHeight="1">
      <c r="B623" s="10"/>
    </row>
    <row r="624" ht="15.75" customHeight="1">
      <c r="B624" s="10"/>
    </row>
    <row r="625" ht="15.75" customHeight="1">
      <c r="B625" s="10"/>
    </row>
    <row r="626" ht="15.75" customHeight="1">
      <c r="B626" s="10"/>
    </row>
    <row r="627" ht="15.75" customHeight="1">
      <c r="B627" s="10"/>
    </row>
    <row r="628" ht="15.75" customHeight="1">
      <c r="B628" s="10"/>
    </row>
    <row r="629" ht="15.75" customHeight="1">
      <c r="B629" s="10"/>
    </row>
    <row r="630" ht="15.75" customHeight="1">
      <c r="B630" s="10"/>
    </row>
    <row r="631" ht="15.75" customHeight="1">
      <c r="B631" s="10"/>
    </row>
    <row r="632" ht="15.75" customHeight="1">
      <c r="B632" s="10"/>
    </row>
    <row r="633" ht="15.75" customHeight="1">
      <c r="B633" s="10"/>
    </row>
    <row r="634" ht="15.75" customHeight="1">
      <c r="B634" s="10"/>
    </row>
    <row r="635" ht="15.75" customHeight="1">
      <c r="B635" s="10"/>
    </row>
    <row r="636" ht="15.75" customHeight="1">
      <c r="B636" s="10"/>
    </row>
    <row r="637" ht="15.75" customHeight="1">
      <c r="B637" s="10"/>
    </row>
    <row r="638" ht="15.75" customHeight="1">
      <c r="B638" s="10"/>
    </row>
    <row r="639" ht="15.75" customHeight="1">
      <c r="B639" s="10"/>
    </row>
    <row r="640" ht="15.75" customHeight="1">
      <c r="B640" s="10"/>
    </row>
    <row r="641" ht="15.75" customHeight="1">
      <c r="B641" s="10"/>
    </row>
    <row r="642" ht="15.75" customHeight="1">
      <c r="B642" s="10"/>
    </row>
    <row r="643" ht="15.75" customHeight="1">
      <c r="B643" s="10"/>
    </row>
    <row r="644" ht="15.75" customHeight="1">
      <c r="B644" s="10"/>
    </row>
    <row r="645" ht="15.75" customHeight="1">
      <c r="B645" s="10"/>
    </row>
    <row r="646" ht="15.75" customHeight="1">
      <c r="B646" s="10"/>
    </row>
    <row r="647" ht="15.75" customHeight="1">
      <c r="B647" s="10"/>
    </row>
    <row r="648" ht="15.75" customHeight="1">
      <c r="B648" s="10"/>
    </row>
    <row r="649" ht="15.75" customHeight="1">
      <c r="B649" s="10"/>
    </row>
    <row r="650" ht="15.75" customHeight="1">
      <c r="B650" s="10"/>
    </row>
    <row r="651" ht="15.75" customHeight="1">
      <c r="B651" s="10"/>
    </row>
    <row r="652" ht="15.75" customHeight="1">
      <c r="B652" s="10"/>
    </row>
    <row r="653" ht="15.75" customHeight="1">
      <c r="B653" s="10"/>
    </row>
    <row r="654" ht="15.75" customHeight="1">
      <c r="B654" s="10"/>
    </row>
    <row r="655" ht="15.75" customHeight="1">
      <c r="B655" s="10"/>
    </row>
    <row r="656" ht="15.75" customHeight="1">
      <c r="B656" s="10"/>
    </row>
    <row r="657" ht="15.75" customHeight="1">
      <c r="B657" s="10"/>
    </row>
    <row r="658" ht="15.75" customHeight="1">
      <c r="B658" s="10"/>
    </row>
    <row r="659" ht="15.75" customHeight="1">
      <c r="B659" s="10"/>
    </row>
    <row r="660" ht="15.75" customHeight="1">
      <c r="B660" s="10"/>
    </row>
    <row r="661" ht="15.75" customHeight="1">
      <c r="B661" s="10"/>
    </row>
    <row r="662" ht="15.75" customHeight="1">
      <c r="B662" s="10"/>
    </row>
    <row r="663" ht="15.75" customHeight="1">
      <c r="B663" s="10"/>
    </row>
    <row r="664" ht="15.75" customHeight="1">
      <c r="B664" s="10"/>
    </row>
    <row r="665" ht="15.75" customHeight="1">
      <c r="B665" s="10"/>
    </row>
    <row r="666" ht="15.75" customHeight="1">
      <c r="B666" s="10"/>
    </row>
    <row r="667" ht="15.75" customHeight="1">
      <c r="B667" s="10"/>
    </row>
    <row r="668" ht="15.75" customHeight="1">
      <c r="B668" s="10"/>
    </row>
    <row r="669" ht="15.75" customHeight="1">
      <c r="B669" s="10"/>
    </row>
    <row r="670" ht="15.75" customHeight="1">
      <c r="B670" s="10"/>
    </row>
    <row r="671" ht="15.75" customHeight="1">
      <c r="B671" s="10"/>
    </row>
    <row r="672" ht="15.75" customHeight="1">
      <c r="B672" s="10"/>
    </row>
    <row r="673" ht="15.75" customHeight="1">
      <c r="B673" s="10"/>
    </row>
    <row r="674" ht="15.75" customHeight="1">
      <c r="B674" s="10"/>
    </row>
    <row r="675" ht="15.75" customHeight="1">
      <c r="B675" s="10"/>
    </row>
    <row r="676" ht="15.75" customHeight="1">
      <c r="B676" s="10"/>
    </row>
    <row r="677" ht="15.75" customHeight="1">
      <c r="B677" s="10"/>
    </row>
    <row r="678" ht="15.75" customHeight="1">
      <c r="B678" s="10"/>
    </row>
    <row r="679" ht="15.75" customHeight="1">
      <c r="B679" s="10"/>
    </row>
    <row r="680" ht="15.75" customHeight="1">
      <c r="B680" s="10"/>
    </row>
    <row r="681" ht="15.75" customHeight="1">
      <c r="B681" s="10"/>
    </row>
    <row r="682" ht="15.75" customHeight="1">
      <c r="B682" s="10"/>
    </row>
    <row r="683" ht="15.75" customHeight="1">
      <c r="B683" s="10"/>
    </row>
    <row r="684" ht="15.75" customHeight="1">
      <c r="B684" s="10"/>
    </row>
    <row r="685" ht="15.75" customHeight="1">
      <c r="B685" s="10"/>
    </row>
    <row r="686" ht="15.75" customHeight="1">
      <c r="B686" s="10"/>
    </row>
    <row r="687" ht="15.75" customHeight="1">
      <c r="B687" s="10"/>
    </row>
    <row r="688" ht="15.75" customHeight="1">
      <c r="B688" s="10"/>
    </row>
    <row r="689" ht="15.75" customHeight="1">
      <c r="B689" s="10"/>
    </row>
    <row r="690" ht="15.75" customHeight="1">
      <c r="B690" s="10"/>
    </row>
    <row r="691" ht="15.75" customHeight="1">
      <c r="B691" s="10"/>
    </row>
    <row r="692" ht="15.75" customHeight="1">
      <c r="B692" s="10"/>
    </row>
    <row r="693" ht="15.75" customHeight="1">
      <c r="B693" s="10"/>
    </row>
    <row r="694" ht="15.75" customHeight="1">
      <c r="B694" s="10"/>
    </row>
    <row r="695" ht="15.75" customHeight="1">
      <c r="B695" s="10"/>
    </row>
    <row r="696" ht="15.75" customHeight="1">
      <c r="B696" s="10"/>
    </row>
    <row r="697" ht="15.75" customHeight="1">
      <c r="B697" s="10"/>
    </row>
    <row r="698" ht="15.75" customHeight="1">
      <c r="B698" s="10"/>
    </row>
    <row r="699" ht="15.75" customHeight="1">
      <c r="B699" s="10"/>
    </row>
    <row r="700" ht="15.75" customHeight="1">
      <c r="B700" s="10"/>
    </row>
    <row r="701" ht="15.75" customHeight="1">
      <c r="B701" s="10"/>
    </row>
    <row r="702" ht="15.75" customHeight="1">
      <c r="B702" s="10"/>
    </row>
    <row r="703" ht="15.75" customHeight="1">
      <c r="B703" s="10"/>
    </row>
    <row r="704" ht="15.75" customHeight="1">
      <c r="B704" s="10"/>
    </row>
    <row r="705" ht="15.75" customHeight="1">
      <c r="B705" s="10"/>
    </row>
    <row r="706" ht="15.75" customHeight="1">
      <c r="B706" s="10"/>
    </row>
    <row r="707" ht="15.75" customHeight="1">
      <c r="B707" s="10"/>
    </row>
    <row r="708" ht="15.75" customHeight="1">
      <c r="B708" s="10"/>
    </row>
    <row r="709" ht="15.75" customHeight="1">
      <c r="B709" s="10"/>
    </row>
    <row r="710" ht="15.75" customHeight="1">
      <c r="B710" s="10"/>
    </row>
    <row r="711" ht="15.75" customHeight="1">
      <c r="B711" s="10"/>
    </row>
    <row r="712" ht="15.75" customHeight="1">
      <c r="B712" s="10"/>
    </row>
    <row r="713" ht="15.75" customHeight="1">
      <c r="B713" s="10"/>
    </row>
    <row r="714" ht="15.75" customHeight="1">
      <c r="B714" s="10"/>
    </row>
    <row r="715" ht="15.75" customHeight="1">
      <c r="B715" s="10"/>
    </row>
    <row r="716" ht="15.75" customHeight="1">
      <c r="B716" s="10"/>
    </row>
    <row r="717" ht="15.75" customHeight="1">
      <c r="B717" s="10"/>
    </row>
    <row r="718" ht="15.75" customHeight="1">
      <c r="B718" s="10"/>
    </row>
    <row r="719" ht="15.75" customHeight="1">
      <c r="B719" s="10"/>
    </row>
    <row r="720" ht="15.75" customHeight="1">
      <c r="B720" s="10"/>
    </row>
    <row r="721" ht="15.75" customHeight="1">
      <c r="B721" s="10"/>
    </row>
    <row r="722" ht="15.75" customHeight="1">
      <c r="B722" s="10"/>
    </row>
    <row r="723" ht="15.75" customHeight="1">
      <c r="B723" s="10"/>
    </row>
    <row r="724" ht="15.75" customHeight="1">
      <c r="B724" s="10"/>
    </row>
    <row r="725" ht="15.75" customHeight="1">
      <c r="B725" s="10"/>
    </row>
    <row r="726" ht="15.75" customHeight="1">
      <c r="B726" s="10"/>
    </row>
    <row r="727" ht="15.75" customHeight="1">
      <c r="B727" s="10"/>
    </row>
    <row r="728" ht="15.75" customHeight="1">
      <c r="B728" s="10"/>
    </row>
    <row r="729" ht="15.75" customHeight="1">
      <c r="B729" s="10"/>
    </row>
    <row r="730" ht="15.75" customHeight="1">
      <c r="B730" s="10"/>
    </row>
    <row r="731" ht="15.75" customHeight="1">
      <c r="B731" s="10"/>
    </row>
    <row r="732" ht="15.75" customHeight="1">
      <c r="B732" s="10"/>
    </row>
    <row r="733" ht="15.75" customHeight="1">
      <c r="B733" s="10"/>
    </row>
    <row r="734" ht="15.75" customHeight="1">
      <c r="B734" s="10"/>
    </row>
    <row r="735" ht="15.75" customHeight="1">
      <c r="B735" s="10"/>
    </row>
    <row r="736" ht="15.75" customHeight="1">
      <c r="B736" s="10"/>
    </row>
    <row r="737" ht="15.75" customHeight="1">
      <c r="B737" s="10"/>
    </row>
    <row r="738" ht="15.75" customHeight="1">
      <c r="B738" s="10"/>
    </row>
    <row r="739" ht="15.75" customHeight="1">
      <c r="B739" s="10"/>
    </row>
    <row r="740" ht="15.75" customHeight="1">
      <c r="B740" s="10"/>
    </row>
    <row r="741" ht="15.75" customHeight="1">
      <c r="B741" s="10"/>
    </row>
    <row r="742" ht="15.75" customHeight="1">
      <c r="B742" s="10"/>
    </row>
    <row r="743" ht="15.75" customHeight="1">
      <c r="B743" s="10"/>
    </row>
    <row r="744" ht="15.75" customHeight="1">
      <c r="B744" s="10"/>
    </row>
    <row r="745" ht="15.75" customHeight="1">
      <c r="B745" s="10"/>
    </row>
    <row r="746" ht="15.75" customHeight="1">
      <c r="B746" s="10"/>
    </row>
    <row r="747" ht="15.75" customHeight="1">
      <c r="B747" s="10"/>
    </row>
    <row r="748" ht="15.75" customHeight="1">
      <c r="B748" s="10"/>
    </row>
    <row r="749" ht="15.75" customHeight="1">
      <c r="B749" s="10"/>
    </row>
    <row r="750" ht="15.75" customHeight="1">
      <c r="B750" s="10"/>
    </row>
    <row r="751" ht="15.75" customHeight="1">
      <c r="B751" s="10"/>
    </row>
    <row r="752" ht="15.75" customHeight="1">
      <c r="B752" s="10"/>
    </row>
    <row r="753" ht="15.75" customHeight="1">
      <c r="B753" s="10"/>
    </row>
    <row r="754" ht="15.75" customHeight="1">
      <c r="B754" s="10"/>
    </row>
    <row r="755" ht="15.75" customHeight="1">
      <c r="B755" s="10"/>
    </row>
    <row r="756" ht="15.75" customHeight="1">
      <c r="B756" s="10"/>
    </row>
    <row r="757" ht="15.75" customHeight="1">
      <c r="B757" s="10"/>
    </row>
    <row r="758" ht="15.75" customHeight="1">
      <c r="B758" s="10"/>
    </row>
    <row r="759" ht="15.75" customHeight="1">
      <c r="B759" s="10"/>
    </row>
    <row r="760" ht="15.75" customHeight="1">
      <c r="B760" s="10"/>
    </row>
    <row r="761" ht="15.75" customHeight="1">
      <c r="B761" s="10"/>
    </row>
    <row r="762" ht="15.75" customHeight="1">
      <c r="B762" s="10"/>
    </row>
    <row r="763" ht="15.75" customHeight="1">
      <c r="B763" s="10"/>
    </row>
    <row r="764" ht="15.75" customHeight="1">
      <c r="B764" s="10"/>
    </row>
    <row r="765" ht="15.75" customHeight="1">
      <c r="B765" s="10"/>
    </row>
    <row r="766" ht="15.75" customHeight="1">
      <c r="B766" s="10"/>
    </row>
    <row r="767" ht="15.75" customHeight="1">
      <c r="B767" s="10"/>
    </row>
    <row r="768" ht="15.75" customHeight="1">
      <c r="B768" s="10"/>
    </row>
    <row r="769" ht="15.75" customHeight="1">
      <c r="B769" s="10"/>
    </row>
    <row r="770" ht="15.75" customHeight="1">
      <c r="B770" s="10"/>
    </row>
    <row r="771" ht="15.75" customHeight="1">
      <c r="B771" s="10"/>
    </row>
    <row r="772" ht="15.75" customHeight="1">
      <c r="B772" s="10"/>
    </row>
    <row r="773" ht="15.75" customHeight="1">
      <c r="B773" s="10"/>
    </row>
    <row r="774" ht="15.75" customHeight="1">
      <c r="B774" s="10"/>
    </row>
    <row r="775" ht="15.75" customHeight="1">
      <c r="B775" s="10"/>
    </row>
    <row r="776" ht="15.75" customHeight="1">
      <c r="B776" s="10"/>
    </row>
    <row r="777" ht="15.75" customHeight="1">
      <c r="B777" s="10"/>
    </row>
    <row r="778" ht="15.75" customHeight="1">
      <c r="B778" s="10"/>
    </row>
    <row r="779" ht="15.75" customHeight="1">
      <c r="B779" s="10"/>
    </row>
    <row r="780" ht="15.75" customHeight="1">
      <c r="B780" s="10"/>
    </row>
    <row r="781" ht="15.75" customHeight="1">
      <c r="B781" s="10"/>
    </row>
    <row r="782" ht="15.75" customHeight="1">
      <c r="B782" s="10"/>
    </row>
    <row r="783" ht="15.75" customHeight="1">
      <c r="B783" s="10"/>
    </row>
    <row r="784" ht="15.75" customHeight="1">
      <c r="B784" s="10"/>
    </row>
    <row r="785" ht="15.75" customHeight="1">
      <c r="B785" s="10"/>
    </row>
    <row r="786" ht="15.75" customHeight="1">
      <c r="B786" s="10"/>
    </row>
    <row r="787" ht="15.75" customHeight="1">
      <c r="B787" s="10"/>
    </row>
    <row r="788" ht="15.75" customHeight="1">
      <c r="B788" s="10"/>
    </row>
    <row r="789" ht="15.75" customHeight="1">
      <c r="B789" s="10"/>
    </row>
    <row r="790" ht="15.75" customHeight="1">
      <c r="B790" s="10"/>
    </row>
    <row r="791" ht="15.75" customHeight="1">
      <c r="B791" s="10"/>
    </row>
    <row r="792" ht="15.75" customHeight="1">
      <c r="B792" s="10"/>
    </row>
    <row r="793" ht="15.75" customHeight="1">
      <c r="B793" s="10"/>
    </row>
    <row r="794" ht="15.75" customHeight="1">
      <c r="B794" s="10"/>
    </row>
    <row r="795" ht="15.75" customHeight="1">
      <c r="B795" s="10"/>
    </row>
    <row r="796" ht="15.75" customHeight="1">
      <c r="B796" s="10"/>
    </row>
    <row r="797" ht="15.75" customHeight="1">
      <c r="B797" s="10"/>
    </row>
    <row r="798" ht="15.75" customHeight="1">
      <c r="B798" s="10"/>
    </row>
    <row r="799" ht="15.75" customHeight="1">
      <c r="B799" s="10"/>
    </row>
    <row r="800" ht="15.75" customHeight="1">
      <c r="B800" s="10"/>
    </row>
    <row r="801" ht="15.75" customHeight="1">
      <c r="B801" s="10"/>
    </row>
    <row r="802" ht="15.75" customHeight="1">
      <c r="B802" s="10"/>
    </row>
    <row r="803" ht="15.75" customHeight="1">
      <c r="B803" s="10"/>
    </row>
    <row r="804" ht="15.75" customHeight="1">
      <c r="B804" s="10"/>
    </row>
    <row r="805" ht="15.75" customHeight="1">
      <c r="B805" s="10"/>
    </row>
    <row r="806" ht="15.75" customHeight="1">
      <c r="B806" s="10"/>
    </row>
    <row r="807" ht="15.75" customHeight="1">
      <c r="B807" s="10"/>
    </row>
    <row r="808" ht="15.75" customHeight="1">
      <c r="B808" s="10"/>
    </row>
    <row r="809" ht="15.75" customHeight="1">
      <c r="B809" s="10"/>
    </row>
    <row r="810" ht="15.75" customHeight="1">
      <c r="B810" s="10"/>
    </row>
    <row r="811" ht="15.75" customHeight="1">
      <c r="B811" s="10"/>
    </row>
    <row r="812" ht="15.75" customHeight="1">
      <c r="B812" s="10"/>
    </row>
    <row r="813" ht="15.75" customHeight="1">
      <c r="B813" s="10"/>
    </row>
    <row r="814" ht="15.75" customHeight="1">
      <c r="B814" s="10"/>
    </row>
    <row r="815" ht="15.75" customHeight="1">
      <c r="B815" s="10"/>
    </row>
    <row r="816" ht="15.75" customHeight="1">
      <c r="B816" s="10"/>
    </row>
    <row r="817" ht="15.75" customHeight="1">
      <c r="B817" s="10"/>
    </row>
    <row r="818" ht="15.75" customHeight="1">
      <c r="B818" s="10"/>
    </row>
    <row r="819" ht="15.75" customHeight="1">
      <c r="B819" s="10"/>
    </row>
    <row r="820" ht="15.75" customHeight="1">
      <c r="B820" s="10"/>
    </row>
    <row r="821" ht="15.75" customHeight="1">
      <c r="B821" s="10"/>
    </row>
    <row r="822" ht="15.75" customHeight="1">
      <c r="B822" s="10"/>
    </row>
    <row r="823" ht="15.75" customHeight="1">
      <c r="B823" s="10"/>
    </row>
    <row r="824" ht="15.75" customHeight="1">
      <c r="B824" s="10"/>
    </row>
    <row r="825" ht="15.75" customHeight="1">
      <c r="B825" s="10"/>
    </row>
    <row r="826" ht="15.75" customHeight="1">
      <c r="B826" s="10"/>
    </row>
    <row r="827" ht="15.75" customHeight="1">
      <c r="B827" s="10"/>
    </row>
    <row r="828" ht="15.75" customHeight="1">
      <c r="B828" s="10"/>
    </row>
    <row r="829" ht="15.75" customHeight="1">
      <c r="B829" s="10"/>
    </row>
    <row r="830" ht="15.75" customHeight="1">
      <c r="B830" s="10"/>
    </row>
    <row r="831" ht="15.75" customHeight="1">
      <c r="B831" s="10"/>
    </row>
    <row r="832" ht="15.75" customHeight="1">
      <c r="B832" s="10"/>
    </row>
    <row r="833" ht="15.75" customHeight="1">
      <c r="B833" s="10"/>
    </row>
    <row r="834" ht="15.75" customHeight="1">
      <c r="B834" s="10"/>
    </row>
    <row r="835" ht="15.75" customHeight="1">
      <c r="B835" s="10"/>
    </row>
    <row r="836" ht="15.75" customHeight="1">
      <c r="B836" s="10"/>
    </row>
    <row r="837" ht="15.75" customHeight="1">
      <c r="B837" s="10"/>
    </row>
    <row r="838" ht="15.75" customHeight="1">
      <c r="B838" s="10"/>
    </row>
    <row r="839" ht="15.75" customHeight="1">
      <c r="B839" s="10"/>
    </row>
    <row r="840" ht="15.75" customHeight="1">
      <c r="B840" s="10"/>
    </row>
    <row r="841" ht="15.75" customHeight="1">
      <c r="B841" s="10"/>
    </row>
    <row r="842" ht="15.75" customHeight="1">
      <c r="B842" s="10"/>
    </row>
    <row r="843" ht="15.75" customHeight="1">
      <c r="B843" s="10"/>
    </row>
    <row r="844" ht="15.75" customHeight="1">
      <c r="B844" s="10"/>
    </row>
    <row r="845" ht="15.75" customHeight="1">
      <c r="B845" s="10"/>
    </row>
    <row r="846" ht="15.75" customHeight="1">
      <c r="B846" s="10"/>
    </row>
    <row r="847" ht="15.75" customHeight="1">
      <c r="B847" s="10"/>
    </row>
    <row r="848" ht="15.75" customHeight="1">
      <c r="B848" s="10"/>
    </row>
    <row r="849" ht="15.75" customHeight="1">
      <c r="B849" s="10"/>
    </row>
    <row r="850" ht="15.75" customHeight="1">
      <c r="B850" s="10"/>
    </row>
    <row r="851" ht="15.75" customHeight="1">
      <c r="B851" s="10"/>
    </row>
    <row r="852" ht="15.75" customHeight="1">
      <c r="B852" s="10"/>
    </row>
    <row r="853" ht="15.75" customHeight="1">
      <c r="B853" s="10"/>
    </row>
    <row r="854" ht="15.75" customHeight="1">
      <c r="B854" s="10"/>
    </row>
    <row r="855" ht="15.75" customHeight="1">
      <c r="B855" s="10"/>
    </row>
    <row r="856" ht="15.75" customHeight="1">
      <c r="B856" s="10"/>
    </row>
    <row r="857" ht="15.75" customHeight="1">
      <c r="B857" s="10"/>
    </row>
    <row r="858" ht="15.75" customHeight="1">
      <c r="B858" s="10"/>
    </row>
    <row r="859" ht="15.75" customHeight="1">
      <c r="B859" s="10"/>
    </row>
    <row r="860" ht="15.75" customHeight="1">
      <c r="B860" s="10"/>
    </row>
    <row r="861" ht="15.75" customHeight="1">
      <c r="B861" s="10"/>
    </row>
    <row r="862" ht="15.75" customHeight="1">
      <c r="B862" s="10"/>
    </row>
    <row r="863" ht="15.75" customHeight="1">
      <c r="B863" s="10"/>
    </row>
    <row r="864" ht="15.75" customHeight="1">
      <c r="B864" s="10"/>
    </row>
    <row r="865" ht="15.75" customHeight="1">
      <c r="B865" s="10"/>
    </row>
    <row r="866" ht="15.75" customHeight="1">
      <c r="B866" s="10"/>
    </row>
    <row r="867" ht="15.75" customHeight="1">
      <c r="B867" s="10"/>
    </row>
    <row r="868" ht="15.75" customHeight="1">
      <c r="B868" s="10"/>
    </row>
    <row r="869" ht="15.75" customHeight="1">
      <c r="B869" s="10"/>
    </row>
    <row r="870" ht="15.75" customHeight="1">
      <c r="B870" s="10"/>
    </row>
    <row r="871" ht="15.75" customHeight="1">
      <c r="B871" s="10"/>
    </row>
    <row r="872" ht="15.75" customHeight="1">
      <c r="B872" s="10"/>
    </row>
    <row r="873" ht="15.75" customHeight="1">
      <c r="B873" s="10"/>
    </row>
    <row r="874" ht="15.75" customHeight="1">
      <c r="B874" s="10"/>
    </row>
    <row r="875" ht="15.75" customHeight="1">
      <c r="B875" s="10"/>
    </row>
    <row r="876" ht="15.75" customHeight="1">
      <c r="B876" s="10"/>
    </row>
    <row r="877" ht="15.75" customHeight="1">
      <c r="B877" s="10"/>
    </row>
    <row r="878" ht="15.75" customHeight="1">
      <c r="B878" s="10"/>
    </row>
    <row r="879" ht="15.75" customHeight="1">
      <c r="B879" s="10"/>
    </row>
    <row r="880" ht="15.75" customHeight="1">
      <c r="B880" s="10"/>
    </row>
    <row r="881" ht="15.75" customHeight="1">
      <c r="B881" s="10"/>
    </row>
    <row r="882" ht="15.75" customHeight="1">
      <c r="B882" s="10"/>
    </row>
    <row r="883" ht="15.75" customHeight="1">
      <c r="B883" s="10"/>
    </row>
    <row r="884" ht="15.75" customHeight="1">
      <c r="B884" s="10"/>
    </row>
    <row r="885" ht="15.75" customHeight="1">
      <c r="B885" s="10"/>
    </row>
    <row r="886" ht="15.75" customHeight="1">
      <c r="B886" s="10"/>
    </row>
    <row r="887" ht="15.75" customHeight="1">
      <c r="B887" s="10"/>
    </row>
    <row r="888" ht="15.75" customHeight="1">
      <c r="B888" s="10"/>
    </row>
    <row r="889" ht="15.75" customHeight="1">
      <c r="B889" s="10"/>
    </row>
    <row r="890" ht="15.75" customHeight="1">
      <c r="B890" s="10"/>
    </row>
    <row r="891" ht="15.75" customHeight="1">
      <c r="B891" s="10"/>
    </row>
    <row r="892" ht="15.75" customHeight="1">
      <c r="B892" s="10"/>
    </row>
    <row r="893" ht="15.75" customHeight="1">
      <c r="B893" s="10"/>
    </row>
    <row r="894" ht="15.75" customHeight="1">
      <c r="B894" s="10"/>
    </row>
    <row r="895" ht="15.75" customHeight="1">
      <c r="B895" s="10"/>
    </row>
    <row r="896" ht="15.75" customHeight="1">
      <c r="B896" s="10"/>
    </row>
    <row r="897" ht="15.75" customHeight="1">
      <c r="B897" s="10"/>
    </row>
    <row r="898" ht="15.75" customHeight="1">
      <c r="B898" s="10"/>
    </row>
    <row r="899" ht="15.75" customHeight="1">
      <c r="B899" s="10"/>
    </row>
    <row r="900" ht="15.75" customHeight="1">
      <c r="B900" s="10"/>
    </row>
    <row r="901" ht="15.75" customHeight="1">
      <c r="B901" s="10"/>
    </row>
    <row r="902" ht="15.75" customHeight="1">
      <c r="B902" s="10"/>
    </row>
    <row r="903" ht="15.75" customHeight="1">
      <c r="B903" s="10"/>
    </row>
    <row r="904" ht="15.75" customHeight="1">
      <c r="B904" s="10"/>
    </row>
    <row r="905" ht="15.75" customHeight="1">
      <c r="B905" s="10"/>
    </row>
    <row r="906" ht="15.75" customHeight="1">
      <c r="B906" s="10"/>
    </row>
    <row r="907" ht="15.75" customHeight="1">
      <c r="B907" s="10"/>
    </row>
    <row r="908" ht="15.75" customHeight="1">
      <c r="B908" s="10"/>
    </row>
    <row r="909" ht="15.75" customHeight="1">
      <c r="B909" s="10"/>
    </row>
    <row r="910" ht="15.75" customHeight="1">
      <c r="B910" s="10"/>
    </row>
    <row r="911" ht="15.75" customHeight="1">
      <c r="B911" s="10"/>
    </row>
    <row r="912" ht="15.75" customHeight="1">
      <c r="B912" s="10"/>
    </row>
    <row r="913" ht="15.75" customHeight="1">
      <c r="B913" s="10"/>
    </row>
    <row r="914" ht="15.75" customHeight="1">
      <c r="B914" s="10"/>
    </row>
    <row r="915" ht="15.75" customHeight="1">
      <c r="B915" s="10"/>
    </row>
    <row r="916" ht="15.75" customHeight="1">
      <c r="B916" s="10"/>
    </row>
    <row r="917" ht="15.75" customHeight="1">
      <c r="B917" s="10"/>
    </row>
    <row r="918" ht="15.75" customHeight="1">
      <c r="B918" s="10"/>
    </row>
    <row r="919" ht="15.75" customHeight="1">
      <c r="B919" s="10"/>
    </row>
    <row r="920" ht="15.75" customHeight="1">
      <c r="B920" s="10"/>
    </row>
    <row r="921" ht="15.75" customHeight="1">
      <c r="B921" s="10"/>
    </row>
    <row r="922" ht="15.75" customHeight="1">
      <c r="B922" s="10"/>
    </row>
    <row r="923" ht="15.75" customHeight="1">
      <c r="B923" s="10"/>
    </row>
    <row r="924" ht="15.75" customHeight="1">
      <c r="B924" s="10"/>
    </row>
    <row r="925" ht="15.75" customHeight="1">
      <c r="B925" s="10"/>
    </row>
    <row r="926" ht="15.75" customHeight="1">
      <c r="B926" s="10"/>
    </row>
    <row r="927" ht="15.75" customHeight="1">
      <c r="B927" s="10"/>
    </row>
    <row r="928" ht="15.75" customHeight="1">
      <c r="B928" s="10"/>
    </row>
    <row r="929" ht="15.75" customHeight="1">
      <c r="B929" s="10"/>
    </row>
    <row r="930" ht="15.75" customHeight="1">
      <c r="B930" s="10"/>
    </row>
    <row r="931" ht="15.75" customHeight="1">
      <c r="B931" s="10"/>
    </row>
    <row r="932" ht="15.75" customHeight="1">
      <c r="B932" s="10"/>
    </row>
    <row r="933" ht="15.75" customHeight="1">
      <c r="B933" s="10"/>
    </row>
    <row r="934" ht="15.75" customHeight="1">
      <c r="B934" s="10"/>
    </row>
    <row r="935" ht="15.75" customHeight="1">
      <c r="B935" s="10"/>
    </row>
    <row r="936" ht="15.75" customHeight="1">
      <c r="B936" s="10"/>
    </row>
    <row r="937" ht="15.75" customHeight="1">
      <c r="B937" s="10"/>
    </row>
    <row r="938" ht="15.75" customHeight="1">
      <c r="B938" s="10"/>
    </row>
    <row r="939" ht="15.75" customHeight="1">
      <c r="B939" s="10"/>
    </row>
    <row r="940" ht="15.75" customHeight="1">
      <c r="B940" s="10"/>
    </row>
    <row r="941" ht="15.75" customHeight="1">
      <c r="B941" s="10"/>
    </row>
    <row r="942" ht="15.75" customHeight="1">
      <c r="B942" s="10"/>
    </row>
    <row r="943" ht="15.75" customHeight="1">
      <c r="B943" s="10"/>
    </row>
    <row r="944" ht="15.75" customHeight="1">
      <c r="B944" s="10"/>
    </row>
    <row r="945" ht="15.75" customHeight="1">
      <c r="B945" s="10"/>
    </row>
    <row r="946" ht="15.75" customHeight="1">
      <c r="B946" s="10"/>
    </row>
    <row r="947" ht="15.75" customHeight="1">
      <c r="B947" s="10"/>
    </row>
    <row r="948" ht="15.75" customHeight="1">
      <c r="B948" s="10"/>
    </row>
    <row r="949" ht="15.75" customHeight="1">
      <c r="B949" s="10"/>
    </row>
    <row r="950" ht="15.75" customHeight="1">
      <c r="B950" s="10"/>
    </row>
    <row r="951" ht="15.75" customHeight="1">
      <c r="B951" s="10"/>
    </row>
    <row r="952" ht="15.75" customHeight="1">
      <c r="B952" s="10"/>
    </row>
    <row r="953" ht="15.75" customHeight="1">
      <c r="B953" s="10"/>
    </row>
    <row r="954" ht="15.75" customHeight="1">
      <c r="B954" s="10"/>
    </row>
    <row r="955" ht="15.75" customHeight="1">
      <c r="B955" s="10"/>
    </row>
    <row r="956" ht="15.75" customHeight="1">
      <c r="B956" s="10"/>
    </row>
    <row r="957" ht="15.75" customHeight="1">
      <c r="B957" s="10"/>
    </row>
    <row r="958" ht="15.75" customHeight="1">
      <c r="B958" s="10"/>
    </row>
    <row r="959" ht="15.75" customHeight="1">
      <c r="B959" s="10"/>
    </row>
    <row r="960" ht="15.75" customHeight="1">
      <c r="B960" s="10"/>
    </row>
    <row r="961" ht="15.75" customHeight="1">
      <c r="B961" s="10"/>
    </row>
    <row r="962" ht="15.75" customHeight="1">
      <c r="B962" s="10"/>
    </row>
    <row r="963" ht="15.75" customHeight="1">
      <c r="B963" s="10"/>
    </row>
    <row r="964" ht="15.75" customHeight="1">
      <c r="B964" s="10"/>
    </row>
    <row r="965" ht="15.75" customHeight="1">
      <c r="B965" s="10"/>
    </row>
    <row r="966" ht="15.75" customHeight="1">
      <c r="B966" s="10"/>
    </row>
    <row r="967" ht="15.75" customHeight="1">
      <c r="B967" s="10"/>
    </row>
    <row r="968" ht="15.75" customHeight="1">
      <c r="B968" s="10"/>
    </row>
    <row r="969" ht="15.75" customHeight="1">
      <c r="B969" s="10"/>
    </row>
    <row r="970" ht="15.75" customHeight="1">
      <c r="B970" s="10"/>
    </row>
    <row r="971" ht="15.75" customHeight="1">
      <c r="B971" s="10"/>
    </row>
    <row r="972" ht="15.75" customHeight="1">
      <c r="B972" s="10"/>
    </row>
    <row r="973" ht="15.75" customHeight="1">
      <c r="B973" s="10"/>
    </row>
    <row r="974" ht="15.75" customHeight="1">
      <c r="B974" s="10"/>
    </row>
    <row r="975" ht="15.75" customHeight="1">
      <c r="B975" s="10"/>
    </row>
    <row r="976" ht="15.75" customHeight="1">
      <c r="B976" s="10"/>
    </row>
    <row r="977" ht="15.75" customHeight="1">
      <c r="B977" s="10"/>
    </row>
    <row r="978" ht="15.75" customHeight="1">
      <c r="B978" s="10"/>
    </row>
    <row r="979" ht="15.75" customHeight="1">
      <c r="B979" s="10"/>
    </row>
    <row r="980" ht="15.75" customHeight="1">
      <c r="B980" s="10"/>
    </row>
    <row r="981" ht="15.75" customHeight="1">
      <c r="B981" s="10"/>
    </row>
    <row r="982" ht="15.75" customHeight="1">
      <c r="B982" s="10"/>
    </row>
    <row r="983" ht="15.75" customHeight="1">
      <c r="B983" s="10"/>
    </row>
    <row r="984" ht="15.75" customHeight="1">
      <c r="B984" s="10"/>
    </row>
    <row r="985" ht="15.75" customHeight="1">
      <c r="B985" s="10"/>
    </row>
    <row r="986" ht="15.75" customHeight="1">
      <c r="B986" s="10"/>
    </row>
    <row r="987" ht="15.75" customHeight="1">
      <c r="B987" s="10"/>
    </row>
    <row r="988" ht="15.75" customHeight="1">
      <c r="B988" s="10"/>
    </row>
    <row r="989" ht="15.75" customHeight="1">
      <c r="B989" s="10"/>
    </row>
    <row r="990" ht="15.75" customHeight="1">
      <c r="B990" s="10"/>
    </row>
    <row r="991" ht="15.75" customHeight="1">
      <c r="B991" s="10"/>
    </row>
    <row r="992" ht="15.75" customHeight="1">
      <c r="B992" s="10"/>
    </row>
    <row r="993" ht="15.75" customHeight="1">
      <c r="B993" s="10"/>
    </row>
    <row r="994" ht="15.75" customHeight="1">
      <c r="B994" s="10"/>
    </row>
    <row r="995" ht="15.75" customHeight="1">
      <c r="B995" s="10"/>
    </row>
    <row r="996" ht="15.75" customHeight="1">
      <c r="B996" s="10"/>
    </row>
    <row r="997" ht="15.75" customHeight="1">
      <c r="B997" s="10"/>
    </row>
    <row r="998" ht="15.75" customHeight="1">
      <c r="B998" s="10"/>
    </row>
    <row r="999" ht="15.75" customHeight="1">
      <c r="B999" s="10"/>
    </row>
    <row r="1000" ht="15.75" customHeight="1">
      <c r="B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6.25"/>
    <col customWidth="1" min="2" max="2" width="18.38"/>
    <col customWidth="1" min="3" max="3" width="12.63"/>
    <col customWidth="1" min="4" max="4" width="36.13"/>
    <col customWidth="1" min="5" max="5" width="81.38"/>
    <col customWidth="1" min="6" max="6" width="12.63"/>
  </cols>
  <sheetData>
    <row r="1">
      <c r="A1" s="11" t="s">
        <v>0</v>
      </c>
      <c r="B1" s="1" t="s">
        <v>162</v>
      </c>
      <c r="C1" s="1" t="s">
        <v>163</v>
      </c>
      <c r="D1" s="11" t="s">
        <v>2</v>
      </c>
      <c r="E1" s="11" t="s">
        <v>164</v>
      </c>
      <c r="F1" s="11" t="s">
        <v>165</v>
      </c>
    </row>
    <row r="2">
      <c r="A2" s="12" t="s">
        <v>4</v>
      </c>
      <c r="B2" s="13">
        <v>1.066048E9</v>
      </c>
      <c r="C2" s="13">
        <f>ExpensesT2_Sankey!$B2/1000000</f>
        <v>1066.048</v>
      </c>
      <c r="D2" s="12" t="s">
        <v>5</v>
      </c>
      <c r="E2" s="13" t="str">
        <f>CONCATENATE(ExpensesT2_Sankey!$D2," ","[",ExpensesT2_Sankey!$C2,"]"," ",ExpensesT2_Sankey!$A2)</f>
        <v>Community and Social Services [1066.048] Children's Services</v>
      </c>
      <c r="F2" s="12"/>
    </row>
    <row r="3" ht="23.25" customHeight="1">
      <c r="A3" s="12" t="s">
        <v>7</v>
      </c>
      <c r="B3" s="13">
        <v>3.7442E7</v>
      </c>
      <c r="C3" s="13">
        <f>ExpensesT2_Sankey!$B3/1000000</f>
        <v>37.442</v>
      </c>
      <c r="D3" s="12" t="s">
        <v>5</v>
      </c>
      <c r="E3" s="13" t="str">
        <f>CONCATENATE(ExpensesT2_Sankey!$D3," ","[",ExpensesT2_Sankey!$C3,"]"," ",ExpensesT2_Sankey!$A3)</f>
        <v>Community and Social Services [37.442] Court Services</v>
      </c>
      <c r="F3" s="12"/>
    </row>
    <row r="4" ht="23.25" customHeight="1">
      <c r="A4" s="12" t="s">
        <v>9</v>
      </c>
      <c r="B4" s="13">
        <v>1.02053E8</v>
      </c>
      <c r="C4" s="13">
        <f>ExpensesT2_Sankey!$B4/1000000</f>
        <v>102.053</v>
      </c>
      <c r="D4" s="12" t="s">
        <v>5</v>
      </c>
      <c r="E4" s="13" t="str">
        <f>CONCATENATE(ExpensesT2_Sankey!$D4," ","[",ExpensesT2_Sankey!$C4,"]"," ",ExpensesT2_Sankey!$A4)</f>
        <v>Community and Social Services [102.053] Economic Development and Culture</v>
      </c>
      <c r="F4" s="12"/>
    </row>
    <row r="5" ht="23.25" customHeight="1">
      <c r="A5" s="12" t="s">
        <v>11</v>
      </c>
      <c r="B5" s="13">
        <v>5.79616E8</v>
      </c>
      <c r="C5" s="13">
        <f>ExpensesT2_Sankey!$B5/1000000</f>
        <v>579.616</v>
      </c>
      <c r="D5" s="12" t="s">
        <v>5</v>
      </c>
      <c r="E5" s="13" t="str">
        <f>CONCATENATE(ExpensesT2_Sankey!$D5," ","[",ExpensesT2_Sankey!$C5,"]"," ",ExpensesT2_Sankey!$A5)</f>
        <v>Community and Social Services [579.616] Fire Services</v>
      </c>
      <c r="F5" s="12"/>
    </row>
    <row r="6" ht="23.25" customHeight="1">
      <c r="A6" s="12" t="s">
        <v>13</v>
      </c>
      <c r="B6" s="13">
        <v>3.25914E8</v>
      </c>
      <c r="C6" s="13">
        <f>ExpensesT2_Sankey!$B6/1000000</f>
        <v>325.914</v>
      </c>
      <c r="D6" s="12" t="s">
        <v>5</v>
      </c>
      <c r="E6" s="13" t="str">
        <f>CONCATENATE(ExpensesT2_Sankey!$D6," ","[",ExpensesT2_Sankey!$C6,"]"," ",ExpensesT2_Sankey!$A6)</f>
        <v>Community and Social Services [325.914] Toronto Paramedic Services</v>
      </c>
      <c r="F6" s="12"/>
    </row>
    <row r="7" ht="23.25" customHeight="1">
      <c r="A7" s="12" t="s">
        <v>15</v>
      </c>
      <c r="B7" s="13">
        <v>3.80527E8</v>
      </c>
      <c r="C7" s="13">
        <f>ExpensesT2_Sankey!$B7/1000000</f>
        <v>380.527</v>
      </c>
      <c r="D7" s="12" t="s">
        <v>5</v>
      </c>
      <c r="E7" s="13" t="str">
        <f>CONCATENATE(ExpensesT2_Sankey!$D7," ","[",ExpensesT2_Sankey!$C7,"]"," ",ExpensesT2_Sankey!$A7)</f>
        <v>Community and Social Services [380.527] Seniors Services and Long-Term Care</v>
      </c>
      <c r="F7" s="12"/>
    </row>
    <row r="8" ht="23.25" customHeight="1">
      <c r="A8" s="12" t="s">
        <v>17</v>
      </c>
      <c r="B8" s="13">
        <v>5.37703E8</v>
      </c>
      <c r="C8" s="13">
        <f>ExpensesT2_Sankey!$B8/1000000</f>
        <v>537.703</v>
      </c>
      <c r="D8" s="12" t="s">
        <v>5</v>
      </c>
      <c r="E8" s="13" t="str">
        <f>CONCATENATE(ExpensesT2_Sankey!$D8," ","[",ExpensesT2_Sankey!$C8,"]"," ",ExpensesT2_Sankey!$A8)</f>
        <v>Community and Social Services [537.703] Parks, Forestry &amp; Recreation</v>
      </c>
      <c r="F8" s="12"/>
    </row>
    <row r="9" ht="23.25" customHeight="1">
      <c r="A9" s="12" t="s">
        <v>19</v>
      </c>
      <c r="B9" s="13">
        <v>1.2801E8</v>
      </c>
      <c r="C9" s="13">
        <f>ExpensesT2_Sankey!$B9/1000000</f>
        <v>128.01</v>
      </c>
      <c r="D9" s="12" t="s">
        <v>5</v>
      </c>
      <c r="E9" s="13" t="str">
        <f>CONCATENATE(ExpensesT2_Sankey!$D9," ","[",ExpensesT2_Sankey!$C9,"]"," ",ExpensesT2_Sankey!$A9)</f>
        <v>Community and Social Services [128.01] Social Development, Finance &amp; Administration</v>
      </c>
      <c r="F9" s="12"/>
    </row>
    <row r="10" ht="23.25" customHeight="1">
      <c r="A10" s="12" t="s">
        <v>21</v>
      </c>
      <c r="B10" s="13">
        <v>1.244571E9</v>
      </c>
      <c r="C10" s="13">
        <f>ExpensesT2_Sankey!$B10/1000000</f>
        <v>1244.571</v>
      </c>
      <c r="D10" s="12" t="s">
        <v>5</v>
      </c>
      <c r="E10" s="13" t="str">
        <f>CONCATENATE(ExpensesT2_Sankey!$D10," ","[",ExpensesT2_Sankey!$C10,"]"," ",ExpensesT2_Sankey!$A10)</f>
        <v>Community and Social Services [1244.571] Toronto Employment &amp; Social Services</v>
      </c>
      <c r="F10" s="12"/>
    </row>
    <row r="11" ht="23.25" customHeight="1">
      <c r="A11" s="12" t="s">
        <v>23</v>
      </c>
      <c r="B11" s="13">
        <v>8.43995E8</v>
      </c>
      <c r="C11" s="13">
        <f>ExpensesT2_Sankey!$B11/1000000</f>
        <v>843.995</v>
      </c>
      <c r="D11" s="12" t="s">
        <v>5</v>
      </c>
      <c r="E11" s="13" t="str">
        <f>CONCATENATE(ExpensesT2_Sankey!$D11," ","[",ExpensesT2_Sankey!$C11,"]"," ",ExpensesT2_Sankey!$A11)</f>
        <v>Community and Social Services [843.995] Toronto Shelter and Support Services</v>
      </c>
      <c r="F11" s="12"/>
    </row>
    <row r="12" ht="23.25" customHeight="1">
      <c r="A12" s="12" t="s">
        <v>25</v>
      </c>
      <c r="B12" s="13">
        <v>8.5084E7</v>
      </c>
      <c r="C12" s="13">
        <f>ExpensesT2_Sankey!$B12/1000000</f>
        <v>85.084</v>
      </c>
      <c r="D12" s="12" t="s">
        <v>26</v>
      </c>
      <c r="E12" s="13" t="str">
        <f>CONCATENATE(ExpensesT2_Sankey!$D12," ","[",ExpensesT2_Sankey!$C12,"]"," ",ExpensesT2_Sankey!$A12)</f>
        <v>Infrastructure Services [85.084] Engineering &amp; Construction Services</v>
      </c>
      <c r="F12" s="12"/>
    </row>
    <row r="13" ht="23.25" customHeight="1">
      <c r="A13" s="12" t="s">
        <v>28</v>
      </c>
      <c r="B13" s="13">
        <v>7.6939E7</v>
      </c>
      <c r="C13" s="13">
        <f>ExpensesT2_Sankey!$B13/1000000</f>
        <v>76.939</v>
      </c>
      <c r="D13" s="12" t="s">
        <v>26</v>
      </c>
      <c r="E13" s="13" t="str">
        <f>CONCATENATE(ExpensesT2_Sankey!$D13," ","[",ExpensesT2_Sankey!$C13,"]"," ",ExpensesT2_Sankey!$A13)</f>
        <v>Infrastructure Services [76.939] Municipal Licensing &amp; Standards</v>
      </c>
      <c r="F13" s="12"/>
    </row>
    <row r="14" ht="23.25" customHeight="1">
      <c r="A14" s="12" t="s">
        <v>30</v>
      </c>
      <c r="B14" s="13">
        <v>6112000.0</v>
      </c>
      <c r="C14" s="13">
        <f>ExpensesT2_Sankey!$B14/1000000</f>
        <v>6.112</v>
      </c>
      <c r="D14" s="12" t="s">
        <v>26</v>
      </c>
      <c r="E14" s="13" t="str">
        <f>CONCATENATE(ExpensesT2_Sankey!$D14," ","[",ExpensesT2_Sankey!$C14,"]"," ",ExpensesT2_Sankey!$A14)</f>
        <v>Infrastructure Services [6.112] Toronto Emergency Management</v>
      </c>
      <c r="F14" s="12"/>
    </row>
    <row r="15" ht="23.25" customHeight="1">
      <c r="A15" s="12" t="s">
        <v>32</v>
      </c>
      <c r="B15" s="13">
        <v>2.2785E7</v>
      </c>
      <c r="C15" s="13">
        <f>ExpensesT2_Sankey!$B15/1000000</f>
        <v>22.785</v>
      </c>
      <c r="D15" s="12" t="s">
        <v>26</v>
      </c>
      <c r="E15" s="13" t="str">
        <f>CONCATENATE(ExpensesT2_Sankey!$D15," ","[",ExpensesT2_Sankey!$C15,"]"," ",ExpensesT2_Sankey!$A15)</f>
        <v>Infrastructure Services [22.785] Policy, Planning, Finance &amp; Administration</v>
      </c>
      <c r="F15" s="12"/>
    </row>
    <row r="16" ht="23.25" customHeight="1">
      <c r="A16" s="12" t="s">
        <v>34</v>
      </c>
      <c r="B16" s="13">
        <v>7979000.0</v>
      </c>
      <c r="C16" s="13">
        <f>ExpensesT2_Sankey!$B16/1000000</f>
        <v>7.979</v>
      </c>
      <c r="D16" s="12" t="s">
        <v>26</v>
      </c>
      <c r="E16" s="13" t="str">
        <f>CONCATENATE(ExpensesT2_Sankey!$D16," ","[",ExpensesT2_Sankey!$C16,"]"," ",ExpensesT2_Sankey!$A16)</f>
        <v>Infrastructure Services [7.979] Transit Expansion</v>
      </c>
      <c r="F16" s="12"/>
    </row>
    <row r="17" ht="23.25" customHeight="1">
      <c r="A17" s="12" t="s">
        <v>36</v>
      </c>
      <c r="B17" s="13">
        <v>5.00696E8</v>
      </c>
      <c r="C17" s="13">
        <f>ExpensesT2_Sankey!$B17/1000000</f>
        <v>500.696</v>
      </c>
      <c r="D17" s="12" t="s">
        <v>26</v>
      </c>
      <c r="E17" s="13" t="str">
        <f>CONCATENATE(ExpensesT2_Sankey!$D17," ","[",ExpensesT2_Sankey!$C17,"]"," ",ExpensesT2_Sankey!$A17)</f>
        <v>Infrastructure Services [500.696] Transportation Services</v>
      </c>
      <c r="F17" s="12"/>
    </row>
    <row r="18" ht="23.25" customHeight="1">
      <c r="A18" s="12" t="s">
        <v>38</v>
      </c>
      <c r="B18" s="13">
        <v>7.3246E7</v>
      </c>
      <c r="C18" s="13">
        <f>ExpensesT2_Sankey!$B18/1000000</f>
        <v>73.246</v>
      </c>
      <c r="D18" s="12" t="s">
        <v>39</v>
      </c>
      <c r="E18" s="13" t="str">
        <f>CONCATENATE(ExpensesT2_Sankey!$D18," ","[",ExpensesT2_Sankey!$C18,"]"," ",ExpensesT2_Sankey!$A18)</f>
        <v>Development &amp; Growth Services [73.246] City Planning</v>
      </c>
      <c r="F18" s="12"/>
    </row>
    <row r="19" ht="23.25" customHeight="1">
      <c r="A19" s="12" t="s">
        <v>41</v>
      </c>
      <c r="B19" s="13">
        <v>6.7258E7</v>
      </c>
      <c r="C19" s="13">
        <f>ExpensesT2_Sankey!$B19/1000000</f>
        <v>67.258</v>
      </c>
      <c r="D19" s="12" t="s">
        <v>39</v>
      </c>
      <c r="E19" s="13" t="str">
        <f>CONCATENATE(ExpensesT2_Sankey!$D19," ","[",ExpensesT2_Sankey!$C19,"]"," ",ExpensesT2_Sankey!$A19)</f>
        <v>Development &amp; Growth Services [67.258] Toronto Building</v>
      </c>
      <c r="F19" s="12"/>
    </row>
    <row r="20" ht="23.25" customHeight="1">
      <c r="A20" s="12" t="s">
        <v>43</v>
      </c>
      <c r="B20" s="13">
        <v>7.47511E8</v>
      </c>
      <c r="C20" s="13">
        <f>ExpensesT2_Sankey!$B20/1000000</f>
        <v>747.511</v>
      </c>
      <c r="D20" s="12" t="s">
        <v>39</v>
      </c>
      <c r="E20" s="13" t="str">
        <f>CONCATENATE(ExpensesT2_Sankey!$D20," ","[",ExpensesT2_Sankey!$C20,"]"," ",ExpensesT2_Sankey!$A20)</f>
        <v>Development &amp; Growth Services [747.511] Housing Secretariat</v>
      </c>
      <c r="F20" s="12"/>
    </row>
    <row r="21" ht="23.25" customHeight="1">
      <c r="A21" s="12" t="s">
        <v>45</v>
      </c>
      <c r="B21" s="13">
        <v>8280000.0</v>
      </c>
      <c r="C21" s="13">
        <f>ExpensesT2_Sankey!$B21/1000000</f>
        <v>8.28</v>
      </c>
      <c r="D21" s="12" t="s">
        <v>39</v>
      </c>
      <c r="E21" s="13" t="str">
        <f>CONCATENATE(ExpensesT2_Sankey!$D21," ","[",ExpensesT2_Sankey!$C21,"]"," ",ExpensesT2_Sankey!$A21)</f>
        <v>Development &amp; Growth Services [8.28] Development Review</v>
      </c>
      <c r="F21" s="12"/>
    </row>
    <row r="22" ht="23.25" customHeight="1">
      <c r="A22" s="12" t="s">
        <v>47</v>
      </c>
      <c r="B22" s="13">
        <v>2.25783E8</v>
      </c>
      <c r="C22" s="13">
        <f>ExpensesT2_Sankey!$B22/1000000</f>
        <v>225.783</v>
      </c>
      <c r="D22" s="12" t="s">
        <v>48</v>
      </c>
      <c r="E22" s="13" t="str">
        <f>CONCATENATE(ExpensesT2_Sankey!$D22," ","[",ExpensesT2_Sankey!$C22,"]"," ",ExpensesT2_Sankey!$A22)</f>
        <v>Corporate Services [225.783] Corporate Real Estate Management</v>
      </c>
      <c r="F22" s="12"/>
    </row>
    <row r="23" ht="23.25" customHeight="1">
      <c r="A23" s="12" t="s">
        <v>50</v>
      </c>
      <c r="B23" s="13">
        <v>2.4392E7</v>
      </c>
      <c r="C23" s="13">
        <f>ExpensesT2_Sankey!$B23/1000000</f>
        <v>24.392</v>
      </c>
      <c r="D23" s="12" t="s">
        <v>48</v>
      </c>
      <c r="E23" s="13" t="str">
        <f>CONCATENATE(ExpensesT2_Sankey!$D23," ","[",ExpensesT2_Sankey!$C23,"]"," ",ExpensesT2_Sankey!$A23)</f>
        <v>Corporate Services [24.392] Customer Experience</v>
      </c>
      <c r="F23" s="14"/>
    </row>
    <row r="24" ht="23.25" customHeight="1">
      <c r="A24" s="12" t="s">
        <v>52</v>
      </c>
      <c r="B24" s="13">
        <v>1.9162E7</v>
      </c>
      <c r="C24" s="13">
        <f>ExpensesT2_Sankey!$B24/1000000</f>
        <v>19.162</v>
      </c>
      <c r="D24" s="12" t="s">
        <v>48</v>
      </c>
      <c r="E24" s="13" t="str">
        <f>CONCATENATE(ExpensesT2_Sankey!$D24," ","[",ExpensesT2_Sankey!$C24,"]"," ",ExpensesT2_Sankey!$A24)</f>
        <v>Corporate Services [19.162] Environment &amp; Climate</v>
      </c>
      <c r="F24" s="14"/>
    </row>
    <row r="25" ht="23.25" customHeight="1">
      <c r="A25" s="12" t="s">
        <v>54</v>
      </c>
      <c r="B25" s="13">
        <v>7.9066E7</v>
      </c>
      <c r="C25" s="13">
        <f>ExpensesT2_Sankey!$B25/1000000</f>
        <v>79.066</v>
      </c>
      <c r="D25" s="12" t="s">
        <v>48</v>
      </c>
      <c r="E25" s="13" t="str">
        <f>CONCATENATE(ExpensesT2_Sankey!$D25," ","[",ExpensesT2_Sankey!$C25,"]"," ",ExpensesT2_Sankey!$A25)</f>
        <v>Corporate Services [79.066] Fleet Services</v>
      </c>
      <c r="F25" s="14"/>
    </row>
    <row r="26" ht="23.25" customHeight="1">
      <c r="A26" s="12" t="s">
        <v>56</v>
      </c>
      <c r="B26" s="13">
        <v>1.74141E8</v>
      </c>
      <c r="C26" s="13">
        <f>ExpensesT2_Sankey!$B26/1000000</f>
        <v>174.141</v>
      </c>
      <c r="D26" s="12" t="s">
        <v>48</v>
      </c>
      <c r="E26" s="13" t="str">
        <f>CONCATENATE(ExpensesT2_Sankey!$D26," ","[",ExpensesT2_Sankey!$C26,"]"," ",ExpensesT2_Sankey!$A26)</f>
        <v>Corporate Services [174.141] Technology Services</v>
      </c>
      <c r="F26" s="14"/>
    </row>
    <row r="27" ht="23.25" customHeight="1">
      <c r="A27" s="12" t="s">
        <v>58</v>
      </c>
      <c r="B27" s="13">
        <v>3.1237E7</v>
      </c>
      <c r="C27" s="13">
        <f>ExpensesT2_Sankey!$B27/1000000</f>
        <v>31.237</v>
      </c>
      <c r="D27" s="12" t="s">
        <v>48</v>
      </c>
      <c r="E27" s="13" t="str">
        <f>CONCATENATE(ExpensesT2_Sankey!$D27," ","[",ExpensesT2_Sankey!$C27,"]"," ",ExpensesT2_Sankey!$A27)</f>
        <v>Corporate Services [31.237] Office of the Chief Information Security Officer</v>
      </c>
      <c r="F27" s="14"/>
    </row>
    <row r="28" ht="23.25" customHeight="1">
      <c r="A28" s="12" t="s">
        <v>60</v>
      </c>
      <c r="B28" s="13">
        <v>4.5003E7</v>
      </c>
      <c r="C28" s="13">
        <f>ExpensesT2_Sankey!$B28/1000000</f>
        <v>45.003</v>
      </c>
      <c r="D28" s="12" t="s">
        <v>61</v>
      </c>
      <c r="E28" s="13" t="str">
        <f>CONCATENATE(ExpensesT2_Sankey!$D28," ","[",ExpensesT2_Sankey!$C28,"]"," ",ExpensesT2_Sankey!$A28)</f>
        <v>Finance and Treasury Services [45.003] Office of the Chief Financial Officer and Treasurer</v>
      </c>
      <c r="F28" s="14"/>
    </row>
    <row r="29" ht="23.25" customHeight="1">
      <c r="A29" s="12" t="s">
        <v>63</v>
      </c>
      <c r="B29" s="13">
        <v>6.7048E7</v>
      </c>
      <c r="C29" s="13">
        <f>ExpensesT2_Sankey!$B29/1000000</f>
        <v>67.048</v>
      </c>
      <c r="D29" s="12" t="s">
        <v>61</v>
      </c>
      <c r="E29" s="13" t="str">
        <f>CONCATENATE(ExpensesT2_Sankey!$D29," ","[",ExpensesT2_Sankey!$C29,"]"," ",ExpensesT2_Sankey!$A29)</f>
        <v>Finance and Treasury Services [67.048] Financial Operations &amp; Control</v>
      </c>
      <c r="F29" s="14"/>
    </row>
    <row r="30" ht="23.25" customHeight="1">
      <c r="A30" s="12" t="s">
        <v>65</v>
      </c>
      <c r="B30" s="13">
        <v>8.5917E7</v>
      </c>
      <c r="C30" s="13">
        <f>ExpensesT2_Sankey!$B30/1000000</f>
        <v>85.917</v>
      </c>
      <c r="D30" s="12" t="s">
        <v>66</v>
      </c>
      <c r="E30" s="13" t="str">
        <f>CONCATENATE(ExpensesT2_Sankey!$D30," ","[",ExpensesT2_Sankey!$C30,"]"," ",ExpensesT2_Sankey!$A30)</f>
        <v>City Manager [85.917] City Manager's Office (Excluding FIFA)</v>
      </c>
      <c r="F30" s="14"/>
    </row>
    <row r="31" ht="23.25" customHeight="1">
      <c r="A31" s="12" t="s">
        <v>68</v>
      </c>
      <c r="B31" s="13">
        <v>5.3474E7</v>
      </c>
      <c r="C31" s="13">
        <f>ExpensesT2_Sankey!$B31/1000000</f>
        <v>53.474</v>
      </c>
      <c r="D31" s="12" t="s">
        <v>69</v>
      </c>
      <c r="E31" s="13" t="str">
        <f>CONCATENATE(ExpensesT2_Sankey!$D31," ","[",ExpensesT2_Sankey!$C31,"]"," ",ExpensesT2_Sankey!$A31)</f>
        <v>Other City Programs [53.474] City Clerk's Office</v>
      </c>
      <c r="F31" s="14"/>
    </row>
    <row r="32" ht="23.25" customHeight="1">
      <c r="A32" s="12" t="s">
        <v>71</v>
      </c>
      <c r="B32" s="13">
        <v>6.7054E7</v>
      </c>
      <c r="C32" s="13">
        <f>ExpensesT2_Sankey!$B32/1000000</f>
        <v>67.054</v>
      </c>
      <c r="D32" s="12" t="s">
        <v>69</v>
      </c>
      <c r="E32" s="13" t="str">
        <f>CONCATENATE(ExpensesT2_Sankey!$D32," ","[",ExpensesT2_Sankey!$C32,"]"," ",ExpensesT2_Sankey!$A32)</f>
        <v>Other City Programs [67.054] Legal Services</v>
      </c>
      <c r="F32" s="14"/>
    </row>
    <row r="33" ht="23.25" customHeight="1">
      <c r="A33" s="12" t="s">
        <v>166</v>
      </c>
      <c r="B33" s="13">
        <v>3055000.0</v>
      </c>
      <c r="C33" s="13">
        <f>ExpensesT2_Sankey!$B33/1000000</f>
        <v>3.055</v>
      </c>
      <c r="D33" s="12" t="s">
        <v>69</v>
      </c>
      <c r="E33" s="13" t="str">
        <f>CONCATENATE(ExpensesT2_Sankey!$D33," ","[",ExpensesT2_Sankey!$C33,"]"," ",ExpensesT2_Sankey!$A33)</f>
        <v>Other City Programs [3.055] Mayor's Office</v>
      </c>
      <c r="F33" s="14"/>
    </row>
    <row r="34" ht="23.25" customHeight="1">
      <c r="A34" s="12" t="s">
        <v>73</v>
      </c>
      <c r="B34" s="13" t="e">
        <v>#VALUE!</v>
      </c>
      <c r="C34" s="13" t="str">
        <f>ExpensesT2_Sankey!$B34/1000000</f>
        <v>#VALUE!</v>
      </c>
      <c r="D34" s="12" t="s">
        <v>69</v>
      </c>
      <c r="E34" s="13" t="str">
        <f>CONCATENATE(ExpensesT2_Sankey!$D34," ","[",ExpensesT2_Sankey!$C34,"]"," ",ExpensesT2_Sankey!$A34)</f>
        <v>#VALUE!</v>
      </c>
      <c r="F34" s="14"/>
    </row>
    <row r="35" ht="23.25" customHeight="1">
      <c r="A35" s="12" t="s">
        <v>167</v>
      </c>
      <c r="B35" s="13">
        <v>7781000.0</v>
      </c>
      <c r="C35" s="13">
        <f>ExpensesT2_Sankey!$B35/1000000</f>
        <v>7.781</v>
      </c>
      <c r="D35" s="12" t="s">
        <v>76</v>
      </c>
      <c r="E35" s="13" t="str">
        <f>CONCATENATE(ExpensesT2_Sankey!$D35," ","[",ExpensesT2_Sankey!$C35,"]"," ",ExpensesT2_Sankey!$A35)</f>
        <v>Accountability Offices [7.781] Auditor General's Office</v>
      </c>
      <c r="F35" s="14"/>
    </row>
    <row r="36" ht="23.25" customHeight="1">
      <c r="A36" s="12" t="s">
        <v>75</v>
      </c>
      <c r="B36" s="13">
        <v>774000.0</v>
      </c>
      <c r="C36" s="13">
        <f>ExpensesT2_Sankey!$B36/1000000</f>
        <v>0.774</v>
      </c>
      <c r="D36" s="12" t="s">
        <v>76</v>
      </c>
      <c r="E36" s="13" t="str">
        <f>CONCATENATE(ExpensesT2_Sankey!$D36," ","[",ExpensesT2_Sankey!$C36,"]"," ",ExpensesT2_Sankey!$A36)</f>
        <v>Accountability Offices [0.774] Integrity Commissioner's Office</v>
      </c>
      <c r="F36" s="14"/>
    </row>
    <row r="37" ht="23.25" customHeight="1">
      <c r="A37" s="12" t="s">
        <v>168</v>
      </c>
      <c r="B37" s="13">
        <v>931000.0</v>
      </c>
      <c r="C37" s="13">
        <f>ExpensesT2_Sankey!$B37/1000000</f>
        <v>0.931</v>
      </c>
      <c r="D37" s="12" t="s">
        <v>76</v>
      </c>
      <c r="E37" s="13" t="str">
        <f>CONCATENATE(ExpensesT2_Sankey!$D37," ","[",ExpensesT2_Sankey!$C37,"]"," ",ExpensesT2_Sankey!$A37)</f>
        <v>Accountability Offices [0.931] Office of the Lobbyist Registrar</v>
      </c>
      <c r="F37" s="14"/>
    </row>
    <row r="38" ht="23.25" customHeight="1">
      <c r="A38" s="12" t="s">
        <v>169</v>
      </c>
      <c r="B38" s="13">
        <v>3840000.0</v>
      </c>
      <c r="C38" s="13">
        <f>ExpensesT2_Sankey!$B38/1000000</f>
        <v>3.84</v>
      </c>
      <c r="D38" s="12" t="s">
        <v>76</v>
      </c>
      <c r="E38" s="13" t="str">
        <f>CONCATENATE(ExpensesT2_Sankey!$D38," ","[",ExpensesT2_Sankey!$C38,"]"," ",ExpensesT2_Sankey!$A38)</f>
        <v>Accountability Offices [3.84] Office of the Ombudsman</v>
      </c>
      <c r="F38" s="12"/>
    </row>
    <row r="39" ht="23.25" customHeight="1">
      <c r="A39" s="12" t="s">
        <v>78</v>
      </c>
      <c r="B39" s="13">
        <v>1.3326E7</v>
      </c>
      <c r="C39" s="13">
        <f>ExpensesT2_Sankey!$B39/1000000</f>
        <v>13.326</v>
      </c>
      <c r="D39" s="12" t="s">
        <v>79</v>
      </c>
      <c r="E39" s="13" t="str">
        <f>CONCATENATE(ExpensesT2_Sankey!$D39," ","[",ExpensesT2_Sankey!$C39,"]"," ",ExpensesT2_Sankey!$A39)</f>
        <v>Agencies [13.326] Toronto Public Health</v>
      </c>
      <c r="F39" s="12"/>
    </row>
    <row r="40" ht="23.25" customHeight="1">
      <c r="A40" s="12" t="s">
        <v>81</v>
      </c>
      <c r="B40" s="13">
        <v>2.48052E8</v>
      </c>
      <c r="C40" s="13">
        <f>ExpensesT2_Sankey!$B40/1000000</f>
        <v>248.052</v>
      </c>
      <c r="D40" s="12" t="s">
        <v>79</v>
      </c>
      <c r="E40" s="13" t="str">
        <f>CONCATENATE(ExpensesT2_Sankey!$D40," ","[",ExpensesT2_Sankey!$C40,"]"," ",ExpensesT2_Sankey!$A40)</f>
        <v>Agencies [248.052] Toronto Public Library</v>
      </c>
      <c r="F40" s="12"/>
    </row>
    <row r="41" ht="23.25" customHeight="1">
      <c r="A41" s="12" t="s">
        <v>83</v>
      </c>
      <c r="B41" s="13">
        <v>2.54511E8</v>
      </c>
      <c r="C41" s="13">
        <f>ExpensesT2_Sankey!$B41/1000000</f>
        <v>254.511</v>
      </c>
      <c r="D41" s="12" t="s">
        <v>79</v>
      </c>
      <c r="E41" s="13" t="str">
        <f>CONCATENATE(ExpensesT2_Sankey!$D41," ","[",ExpensesT2_Sankey!$C41,"]"," ",ExpensesT2_Sankey!$A41)</f>
        <v>Agencies [254.511] Exhibition Place</v>
      </c>
      <c r="F41" s="14"/>
    </row>
    <row r="42" ht="23.25" customHeight="1">
      <c r="A42" s="12" t="s">
        <v>85</v>
      </c>
      <c r="B42" s="13">
        <v>6.7217E7</v>
      </c>
      <c r="C42" s="13">
        <f>ExpensesT2_Sankey!$B42/1000000</f>
        <v>67.217</v>
      </c>
      <c r="D42" s="12" t="s">
        <v>79</v>
      </c>
      <c r="E42" s="13" t="str">
        <f>CONCATENATE(ExpensesT2_Sankey!$D42," ","[",ExpensesT2_Sankey!$C42,"]"," ",ExpensesT2_Sankey!$A42)</f>
        <v>Agencies [67.217] Heritage Toronto</v>
      </c>
      <c r="F42" s="14"/>
    </row>
    <row r="43" ht="23.25" customHeight="1">
      <c r="A43" s="12" t="s">
        <v>87</v>
      </c>
      <c r="B43" s="13">
        <v>1335000.0</v>
      </c>
      <c r="C43" s="13">
        <f>ExpensesT2_Sankey!$B43/1000000</f>
        <v>1.335</v>
      </c>
      <c r="D43" s="12" t="s">
        <v>79</v>
      </c>
      <c r="E43" s="13" t="str">
        <f>CONCATENATE(ExpensesT2_Sankey!$D43," ","[",ExpensesT2_Sankey!$C43,"]"," ",ExpensesT2_Sankey!$A43)</f>
        <v>Agencies [1.335] To Live</v>
      </c>
      <c r="F43" s="14"/>
    </row>
    <row r="44" ht="23.25" customHeight="1">
      <c r="A44" s="12" t="s">
        <v>89</v>
      </c>
      <c r="B44" s="13">
        <v>3.982E7</v>
      </c>
      <c r="C44" s="13">
        <f>ExpensesT2_Sankey!$B44/1000000</f>
        <v>39.82</v>
      </c>
      <c r="D44" s="12" t="s">
        <v>79</v>
      </c>
      <c r="E44" s="13" t="str">
        <f>CONCATENATE(ExpensesT2_Sankey!$D44," ","[",ExpensesT2_Sankey!$C44,"]"," ",ExpensesT2_Sankey!$A44)</f>
        <v>Agencies [39.82] Toronto Zoo</v>
      </c>
      <c r="F44" s="14"/>
    </row>
    <row r="45" ht="23.25" customHeight="1">
      <c r="A45" s="12" t="s">
        <v>91</v>
      </c>
      <c r="B45" s="13">
        <v>6.547E7</v>
      </c>
      <c r="C45" s="13">
        <f>ExpensesT2_Sankey!$B45/1000000</f>
        <v>65.47</v>
      </c>
      <c r="D45" s="12" t="s">
        <v>79</v>
      </c>
      <c r="E45" s="13" t="str">
        <f>CONCATENATE(ExpensesT2_Sankey!$D45," ","[",ExpensesT2_Sankey!$C45,"]"," ",ExpensesT2_Sankey!$A45)</f>
        <v>Agencies [65.47] Sankofa Square</v>
      </c>
      <c r="F45" s="14"/>
    </row>
    <row r="46" ht="23.25" customHeight="1">
      <c r="A46" s="12" t="s">
        <v>93</v>
      </c>
      <c r="B46" s="13">
        <v>3831000.0</v>
      </c>
      <c r="C46" s="13">
        <f>ExpensesT2_Sankey!$B46/1000000</f>
        <v>3.831</v>
      </c>
      <c r="D46" s="12" t="s">
        <v>79</v>
      </c>
      <c r="E46" s="13" t="str">
        <f>CONCATENATE(ExpensesT2_Sankey!$D46," ","[",ExpensesT2_Sankey!$C46,"]"," ",ExpensesT2_Sankey!$A46)</f>
        <v>Agencies [3.831] CreateTO</v>
      </c>
      <c r="F46" s="14"/>
    </row>
    <row r="47" ht="23.25" customHeight="1">
      <c r="A47" s="12" t="s">
        <v>95</v>
      </c>
      <c r="B47" s="13">
        <v>1.8463E7</v>
      </c>
      <c r="C47" s="13">
        <f>ExpensesT2_Sankey!$B47/1000000</f>
        <v>18.463</v>
      </c>
      <c r="D47" s="12" t="s">
        <v>79</v>
      </c>
      <c r="E47" s="13" t="str">
        <f>CONCATENATE(ExpensesT2_Sankey!$D47," ","[",ExpensesT2_Sankey!$C47,"]"," ",ExpensesT2_Sankey!$A47)</f>
        <v>Agencies [18.463] Toronto &amp; Region Conservation Authority</v>
      </c>
      <c r="F47" s="14"/>
    </row>
    <row r="48" ht="23.25" customHeight="1">
      <c r="A48" s="12" t="s">
        <v>97</v>
      </c>
      <c r="B48" s="13">
        <v>1.1594E7</v>
      </c>
      <c r="C48" s="13">
        <f>ExpensesT2_Sankey!$B48/1000000</f>
        <v>11.594</v>
      </c>
      <c r="D48" s="12" t="s">
        <v>79</v>
      </c>
      <c r="E48" s="13" t="str">
        <f>CONCATENATE(ExpensesT2_Sankey!$D48," ","[",ExpensesT2_Sankey!$C48,"]"," ",ExpensesT2_Sankey!$A48)</f>
        <v>Agencies [11.594] Toronto Transit Commission - Conventional</v>
      </c>
      <c r="F48" s="14"/>
    </row>
    <row r="49" ht="23.25" customHeight="1">
      <c r="A49" s="12" t="s">
        <v>99</v>
      </c>
      <c r="B49" s="13">
        <v>2.382481E9</v>
      </c>
      <c r="C49" s="13">
        <f>ExpensesT2_Sankey!$B49/1000000</f>
        <v>2382.481</v>
      </c>
      <c r="D49" s="12" t="s">
        <v>79</v>
      </c>
      <c r="E49" s="13" t="str">
        <f>CONCATENATE(ExpensesT2_Sankey!$D49," ","[",ExpensesT2_Sankey!$C49,"]"," ",ExpensesT2_Sankey!$A49)</f>
        <v>Agencies [2382.481] Toronto Transit Commission - Wheel Trans</v>
      </c>
      <c r="F49" s="14"/>
    </row>
    <row r="50" ht="23.25" customHeight="1">
      <c r="A50" s="12" t="s">
        <v>101</v>
      </c>
      <c r="B50" s="13">
        <v>1.67917E8</v>
      </c>
      <c r="C50" s="13">
        <f>ExpensesT2_Sankey!$B50/1000000</f>
        <v>167.917</v>
      </c>
      <c r="D50" s="12" t="s">
        <v>79</v>
      </c>
      <c r="E50" s="13" t="str">
        <f>CONCATENATE(ExpensesT2_Sankey!$D50," ","[",ExpensesT2_Sankey!$C50,"]"," ",ExpensesT2_Sankey!$A50)</f>
        <v>Agencies [167.917] Toronto Police Service</v>
      </c>
      <c r="F50" s="14"/>
    </row>
    <row r="51" ht="23.25" customHeight="1">
      <c r="A51" s="12" t="s">
        <v>103</v>
      </c>
      <c r="B51" s="13">
        <v>1.39119E9</v>
      </c>
      <c r="C51" s="13">
        <f>ExpensesT2_Sankey!$B51/1000000</f>
        <v>1391.19</v>
      </c>
      <c r="D51" s="12" t="s">
        <v>79</v>
      </c>
      <c r="E51" s="13" t="str">
        <f>CONCATENATE(ExpensesT2_Sankey!$D51," ","[",ExpensesT2_Sankey!$C51,"]"," ",ExpensesT2_Sankey!$A51)</f>
        <v>Agencies [1391.19] Toronto Police Service Board</v>
      </c>
      <c r="F51" s="14"/>
    </row>
    <row r="52" ht="23.25" customHeight="1">
      <c r="A52" s="12" t="s">
        <v>170</v>
      </c>
      <c r="B52" s="13">
        <v>2.86742E8</v>
      </c>
      <c r="C52" s="13">
        <f>ExpensesT2_Sankey!$B52/1000000</f>
        <v>286.742</v>
      </c>
      <c r="D52" s="12" t="s">
        <v>151</v>
      </c>
      <c r="E52" s="13" t="str">
        <f>CONCATENATE(ExpensesT2_Sankey!$D52," ","[",ExpensesT2_Sankey!$C52,"]"," ",ExpensesT2_Sankey!$A52)</f>
        <v>Corporate Accounts [286.742] Capital from Current</v>
      </c>
      <c r="F52" s="14"/>
    </row>
    <row r="53" ht="23.25" customHeight="1">
      <c r="A53" s="12" t="s">
        <v>171</v>
      </c>
      <c r="B53" s="13">
        <v>2.1297E7</v>
      </c>
      <c r="C53" s="13">
        <f>ExpensesT2_Sankey!$B53/1000000</f>
        <v>21.297</v>
      </c>
      <c r="D53" s="12" t="s">
        <v>151</v>
      </c>
      <c r="E53" s="13" t="str">
        <f>CONCATENATE(ExpensesT2_Sankey!$D53," ","[",ExpensesT2_Sankey!$C53,"]"," ",ExpensesT2_Sankey!$A53)</f>
        <v>Corporate Accounts [21.297] Technology Sustainment</v>
      </c>
      <c r="F53" s="12"/>
    </row>
    <row r="54" ht="23.25" customHeight="1">
      <c r="A54" s="12" t="s">
        <v>172</v>
      </c>
      <c r="B54" s="13">
        <v>8.9362E8</v>
      </c>
      <c r="C54" s="13">
        <f>ExpensesT2_Sankey!$B54/1000000</f>
        <v>893.62</v>
      </c>
      <c r="D54" s="12" t="s">
        <v>151</v>
      </c>
      <c r="E54" s="13" t="str">
        <f>CONCATENATE(ExpensesT2_Sankey!$D54," ","[",ExpensesT2_Sankey!$C54,"]"," ",ExpensesT2_Sankey!$A54)</f>
        <v>Corporate Accounts [893.62] Debt Charges</v>
      </c>
      <c r="F54" s="12"/>
    </row>
    <row r="55" ht="23.25" customHeight="1">
      <c r="A55" s="12" t="s">
        <v>173</v>
      </c>
      <c r="B55" s="13">
        <v>3.12E7</v>
      </c>
      <c r="C55" s="13">
        <f>ExpensesT2_Sankey!$B55/1000000</f>
        <v>31.2</v>
      </c>
      <c r="D55" s="12" t="s">
        <v>111</v>
      </c>
      <c r="E55" s="13" t="str">
        <f>CONCATENATE(ExpensesT2_Sankey!$D55," ","[",ExpensesT2_Sankey!$C55,"]"," ",ExpensesT2_Sankey!$A55)</f>
        <v>Non-Program Expenditures [31.2] Tax Deficiencies / Write Offs</v>
      </c>
      <c r="F55" s="12"/>
    </row>
    <row r="56" ht="23.25" customHeight="1">
      <c r="A56" s="12" t="s">
        <v>174</v>
      </c>
      <c r="B56" s="13">
        <v>4.0055E7</v>
      </c>
      <c r="C56" s="13">
        <f>ExpensesT2_Sankey!$B56/1000000</f>
        <v>40.055</v>
      </c>
      <c r="D56" s="12" t="s">
        <v>111</v>
      </c>
      <c r="E56" s="13" t="str">
        <f>CONCATENATE(ExpensesT2_Sankey!$D56," ","[",ExpensesT2_Sankey!$C56,"]"," ",ExpensesT2_Sankey!$A56)</f>
        <v>Non-Program Expenditures [40.055] Tax Increment Equivalent Grants (TIEG)</v>
      </c>
      <c r="F56" s="12"/>
    </row>
    <row r="57" ht="23.25" customHeight="1">
      <c r="A57" s="12" t="s">
        <v>175</v>
      </c>
      <c r="B57" s="13">
        <v>4.7291E7</v>
      </c>
      <c r="C57" s="13">
        <f>ExpensesT2_Sankey!$B57/1000000</f>
        <v>47.291</v>
      </c>
      <c r="D57" s="12" t="s">
        <v>111</v>
      </c>
      <c r="E57" s="13" t="str">
        <f>CONCATENATE(ExpensesT2_Sankey!$D57," ","[",ExpensesT2_Sankey!$C57,"]"," ",ExpensesT2_Sankey!$A57)</f>
        <v>Non-Program Expenditures [47.291] Assessment Function (MPAC)</v>
      </c>
      <c r="F57" s="12"/>
    </row>
    <row r="58" ht="23.25" customHeight="1">
      <c r="A58" s="12" t="s">
        <v>176</v>
      </c>
      <c r="B58" s="13">
        <v>8.3065E7</v>
      </c>
      <c r="C58" s="13">
        <f>ExpensesT2_Sankey!$B58/1000000</f>
        <v>83.065</v>
      </c>
      <c r="D58" s="12" t="s">
        <v>111</v>
      </c>
      <c r="E58" s="13" t="str">
        <f>CONCATENATE(ExpensesT2_Sankey!$D58," ","[",ExpensesT2_Sankey!$C58,"]"," ",ExpensesT2_Sankey!$A58)</f>
        <v>Non-Program Expenditures [83.065] Funding of Employee Related Liabilities</v>
      </c>
      <c r="F58" s="12"/>
    </row>
    <row r="59" ht="23.25" customHeight="1">
      <c r="A59" s="12" t="s">
        <v>110</v>
      </c>
      <c r="B59" s="13">
        <v>1.66311E8</v>
      </c>
      <c r="C59" s="13">
        <f>ExpensesT2_Sankey!$B59/1000000</f>
        <v>166.311</v>
      </c>
      <c r="D59" s="12" t="s">
        <v>111</v>
      </c>
      <c r="E59" s="13" t="str">
        <f>CONCATENATE(ExpensesT2_Sankey!$D59," ","[",ExpensesT2_Sankey!$C59,"]"," ",ExpensesT2_Sankey!$A59)</f>
        <v>Non-Program Expenditures [166.311] Programs Funded from Reserve Funds</v>
      </c>
      <c r="F59" s="12"/>
    </row>
    <row r="60" ht="23.25" customHeight="1">
      <c r="A60" s="12" t="s">
        <v>113</v>
      </c>
      <c r="B60" s="13">
        <v>1.17756E8</v>
      </c>
      <c r="C60" s="13">
        <f>ExpensesT2_Sankey!$B60/1000000</f>
        <v>117.756</v>
      </c>
      <c r="D60" s="12" t="s">
        <v>111</v>
      </c>
      <c r="E60" s="13" t="str">
        <f>CONCATENATE(ExpensesT2_Sankey!$D60," ","[",ExpensesT2_Sankey!$C60,"]"," ",ExpensesT2_Sankey!$A60)</f>
        <v>Non-Program Expenditures [117.756] Other Corporate Expenditures</v>
      </c>
      <c r="F60" s="12"/>
    </row>
    <row r="61" ht="23.25" customHeight="1">
      <c r="A61" s="12" t="s">
        <v>177</v>
      </c>
      <c r="B61" s="13">
        <v>5.2411E7</v>
      </c>
      <c r="C61" s="13">
        <f>ExpensesT2_Sankey!$B61/1000000</f>
        <v>52.411</v>
      </c>
      <c r="D61" s="12" t="s">
        <v>111</v>
      </c>
      <c r="E61" s="13" t="str">
        <f>CONCATENATE(ExpensesT2_Sankey!$D61," ","[",ExpensesT2_Sankey!$C61,"]"," ",ExpensesT2_Sankey!$A61)</f>
        <v>Non-Program Expenditures [52.411] Insurance Contributions</v>
      </c>
      <c r="F61" s="12"/>
    </row>
    <row r="62" ht="23.25" customHeight="1">
      <c r="A62" s="12" t="s">
        <v>178</v>
      </c>
      <c r="B62" s="13">
        <v>7231000.0</v>
      </c>
      <c r="C62" s="13">
        <f>ExpensesT2_Sankey!$B62/1000000</f>
        <v>7.231</v>
      </c>
      <c r="D62" s="12" t="s">
        <v>111</v>
      </c>
      <c r="E62" s="13" t="str">
        <f>CONCATENATE(ExpensesT2_Sankey!$D62," ","[",ExpensesT2_Sankey!$C62,"]"," ",ExpensesT2_Sankey!$A62)</f>
        <v>Non-Program Expenditures [7.231] Tax Increment Funding (TIF)</v>
      </c>
      <c r="F62" s="12"/>
    </row>
    <row r="63" ht="23.25" customHeight="1">
      <c r="A63" s="12" t="s">
        <v>179</v>
      </c>
      <c r="B63" s="13">
        <v>7.0249E7</v>
      </c>
      <c r="C63" s="13">
        <f>ExpensesT2_Sankey!$B63/1000000</f>
        <v>70.249</v>
      </c>
      <c r="D63" s="12" t="s">
        <v>111</v>
      </c>
      <c r="E63" s="13" t="str">
        <f>CONCATENATE(ExpensesT2_Sankey!$D63," ","[",ExpensesT2_Sankey!$C63,"]"," ",ExpensesT2_Sankey!$A63)</f>
        <v>Non-Program Expenditures [70.249] Parking Tag Enforcement &amp; Operations Exp</v>
      </c>
      <c r="F63" s="12"/>
    </row>
    <row r="64" ht="23.25" customHeight="1">
      <c r="A64" s="12" t="s">
        <v>180</v>
      </c>
      <c r="B64" s="13">
        <v>636000.0</v>
      </c>
      <c r="C64" s="13">
        <f>ExpensesT2_Sankey!$B64/1000000</f>
        <v>0.636</v>
      </c>
      <c r="D64" s="12" t="s">
        <v>111</v>
      </c>
      <c r="E64" s="13" t="str">
        <f>CONCATENATE(ExpensesT2_Sankey!$D64," ","[",ExpensesT2_Sankey!$C64,"]"," ",ExpensesT2_Sankey!$A64)</f>
        <v>Non-Program Expenditures [0.636] Heritage Property Taxes Rebate</v>
      </c>
      <c r="F64" s="12"/>
    </row>
    <row r="65" ht="23.25" customHeight="1">
      <c r="A65" s="12" t="s">
        <v>181</v>
      </c>
      <c r="B65" s="13">
        <v>7.5371E7</v>
      </c>
      <c r="C65" s="13">
        <f>ExpensesT2_Sankey!$B65/1000000</f>
        <v>75.371</v>
      </c>
      <c r="D65" s="12" t="s">
        <v>111</v>
      </c>
      <c r="E65" s="13" t="str">
        <f>CONCATENATE(ExpensesT2_Sankey!$D65," ","[",ExpensesT2_Sankey!$C65,"]"," ",ExpensesT2_Sankey!$A65)</f>
        <v>Non-Program Expenditures [75.371] Solid Waste Management Services Rebate</v>
      </c>
      <c r="F65" s="12"/>
    </row>
    <row r="66" ht="23.25" customHeight="1">
      <c r="A66" s="12" t="s">
        <v>122</v>
      </c>
      <c r="B66" s="13">
        <v>1.54729E8</v>
      </c>
      <c r="C66" s="13">
        <f>ExpensesT2_Sankey!$B66/1000000</f>
        <v>154.729</v>
      </c>
      <c r="D66" s="12" t="s">
        <v>182</v>
      </c>
      <c r="E66" s="13" t="str">
        <f>CONCATENATE(ExpensesT2_Sankey!$D66," ","[",ExpensesT2_Sankey!$C66,"]"," ",ExpensesT2_Sankey!$A66)</f>
        <v>Non-Program Revenues [154.729] Municipal Land Transfer Tax</v>
      </c>
      <c r="F66" s="12"/>
    </row>
    <row r="67" ht="23.25" customHeight="1">
      <c r="A67" s="12" t="s">
        <v>124</v>
      </c>
      <c r="B67" s="13">
        <v>4.835E7</v>
      </c>
      <c r="C67" s="13">
        <f>ExpensesT2_Sankey!$B67/1000000</f>
        <v>48.35</v>
      </c>
      <c r="D67" s="12" t="s">
        <v>182</v>
      </c>
      <c r="E67" s="13" t="str">
        <f>CONCATENATE(ExpensesT2_Sankey!$D67," ","[",ExpensesT2_Sankey!$C67,"]"," ",ExpensesT2_Sankey!$A67)</f>
        <v>Non-Program Revenues [48.35] Municipal Accommodation Tax (MAT)</v>
      </c>
      <c r="F67" s="12"/>
    </row>
    <row r="68" ht="23.25" customHeight="1">
      <c r="A68" s="12" t="s">
        <v>128</v>
      </c>
      <c r="B68" s="13">
        <v>1.33489E8</v>
      </c>
      <c r="C68" s="13">
        <f>ExpensesT2_Sankey!$B68/1000000</f>
        <v>133.489</v>
      </c>
      <c r="D68" s="12" t="s">
        <v>182</v>
      </c>
      <c r="E68" s="13" t="str">
        <f>CONCATENATE(ExpensesT2_Sankey!$D68," ","[",ExpensesT2_Sankey!$C68,"]"," ",ExpensesT2_Sankey!$A68)</f>
        <v>Non-Program Revenues [133.489] Interest/Investment Earnings</v>
      </c>
      <c r="F68" s="12"/>
    </row>
    <row r="69" ht="23.25" customHeight="1">
      <c r="A69" s="12" t="s">
        <v>132</v>
      </c>
      <c r="B69" s="13">
        <v>1746000.0</v>
      </c>
      <c r="C69" s="13">
        <f>ExpensesT2_Sankey!$B69/1000000</f>
        <v>1.746</v>
      </c>
      <c r="D69" s="12" t="s">
        <v>182</v>
      </c>
      <c r="E69" s="13" t="str">
        <f>CONCATENATE(ExpensesT2_Sankey!$D69," ","[",ExpensesT2_Sankey!$C69,"]"," ",ExpensesT2_Sankey!$A69)</f>
        <v>Non-Program Revenues [1.746] Other Corporate Revenues</v>
      </c>
      <c r="F69" s="12"/>
    </row>
    <row r="70" ht="23.25" customHeight="1">
      <c r="A70" s="12" t="s">
        <v>144</v>
      </c>
      <c r="B70" s="13">
        <v>103000.0</v>
      </c>
      <c r="C70" s="13">
        <f>ExpensesT2_Sankey!$B70/1000000</f>
        <v>0.103</v>
      </c>
      <c r="D70" s="12" t="s">
        <v>182</v>
      </c>
      <c r="E70" s="13" t="str">
        <f>CONCATENATE(ExpensesT2_Sankey!$D70," ","[",ExpensesT2_Sankey!$C70,"]"," ",ExpensesT2_Sankey!$A70)</f>
        <v>Non-Program Revenues [0.103] Other Tax Revenues</v>
      </c>
      <c r="F70" s="12"/>
    </row>
    <row r="71" ht="23.25" customHeight="1">
      <c r="A71" s="12" t="s">
        <v>146</v>
      </c>
      <c r="B71" s="13">
        <v>134000.0</v>
      </c>
      <c r="C71" s="13">
        <f>ExpensesT2_Sankey!$B71/1000000</f>
        <v>0.134</v>
      </c>
      <c r="D71" s="12" t="s">
        <v>182</v>
      </c>
      <c r="E71" s="13" t="str">
        <f>CONCATENATE(ExpensesT2_Sankey!$D71," ","[",ExpensesT2_Sankey!$C71,"]"," ",ExpensesT2_Sankey!$A71)</f>
        <v>Non-Program Revenues [0.134] Casino Woodbine Revenues</v>
      </c>
      <c r="F71" s="12"/>
    </row>
    <row r="72" ht="23.25" customHeight="1">
      <c r="A72" s="12" t="s">
        <v>148</v>
      </c>
      <c r="B72" s="13">
        <v>5.5E7</v>
      </c>
      <c r="C72" s="13">
        <f>ExpensesT2_Sankey!$B72/1000000</f>
        <v>55</v>
      </c>
      <c r="D72" s="12" t="s">
        <v>182</v>
      </c>
      <c r="E72" s="13" t="str">
        <f>CONCATENATE(ExpensesT2_Sankey!$D72," ","[",ExpensesT2_Sankey!$C72,"]"," ",ExpensesT2_Sankey!$A72)</f>
        <v>Non-Program Revenues [55] Vacant Home Tax</v>
      </c>
      <c r="F72" s="12"/>
    </row>
    <row r="73" ht="23.25" customHeight="1">
      <c r="A73" s="12" t="s">
        <v>150</v>
      </c>
      <c r="B73" s="13">
        <v>1.1886E7</v>
      </c>
      <c r="C73" s="13">
        <f>ExpensesT2_Sankey!$B73/1000000</f>
        <v>11.886</v>
      </c>
      <c r="D73" s="12" t="s">
        <v>151</v>
      </c>
      <c r="E73" s="13" t="str">
        <f>CONCATENATE(ExpensesT2_Sankey!$D73," ","[",ExpensesT2_Sankey!$C73,"]"," ",ExpensesT2_Sankey!$A73)</f>
        <v>Corporate Accounts [11.886] Association of Community Centres</v>
      </c>
      <c r="F73" s="12"/>
    </row>
    <row r="74" ht="23.25" customHeight="1">
      <c r="A74" s="12" t="s">
        <v>153</v>
      </c>
      <c r="B74" s="13">
        <v>1.1107E7</v>
      </c>
      <c r="C74" s="13">
        <f>ExpensesT2_Sankey!$B74/1000000</f>
        <v>11.107</v>
      </c>
      <c r="D74" s="12" t="s">
        <v>151</v>
      </c>
      <c r="E74" s="13" t="str">
        <f>CONCATENATE(ExpensesT2_Sankey!$D74," ","[",ExpensesT2_Sankey!$C74,"]"," ",ExpensesT2_Sankey!$A74)</f>
        <v>Corporate Accounts [11.107] Arena Boards of Management</v>
      </c>
      <c r="F74" s="12"/>
    </row>
    <row r="75" ht="23.25" customHeight="1">
      <c r="A75" s="12" t="s">
        <v>183</v>
      </c>
      <c r="B75" s="13">
        <v>4.0699E7</v>
      </c>
      <c r="C75" s="13">
        <f>ExpensesT2_Sankey!$B75/1000000</f>
        <v>40.699</v>
      </c>
      <c r="D75" s="12" t="s">
        <v>183</v>
      </c>
      <c r="E75" s="13" t="str">
        <f>CONCATENATE(ExpensesT2_Sankey!$D75," ","[",ExpensesT2_Sankey!$C75,"]"," ",ExpensesT2_Sankey!$A75)</f>
        <v>Special Levy for Scarborough Subway [40.699] Special Levy for Scarborough Subway</v>
      </c>
      <c r="F75" s="12"/>
    </row>
    <row r="76" ht="23.25" customHeight="1">
      <c r="A76" s="12" t="s">
        <v>184</v>
      </c>
      <c r="B76" s="13">
        <v>3.14096E8</v>
      </c>
      <c r="C76" s="13">
        <f>ExpensesT2_Sankey!$B76/1000000</f>
        <v>314.096</v>
      </c>
      <c r="D76" s="12" t="s">
        <v>184</v>
      </c>
      <c r="E76" s="13" t="str">
        <f>CONCATENATE(ExpensesT2_Sankey!$D76," ","[",ExpensesT2_Sankey!$C76,"]"," ",ExpensesT2_Sankey!$A76)</f>
        <v>City Building Fund (CBF) [314.096] City Building Fund (CBF)</v>
      </c>
      <c r="F76" s="12"/>
    </row>
    <row r="77" ht="23.25" customHeight="1">
      <c r="A77" s="12" t="s">
        <v>155</v>
      </c>
      <c r="B77" s="13">
        <v>4.03488E8</v>
      </c>
      <c r="C77" s="13">
        <f>ExpensesT2_Sankey!$B77/1000000</f>
        <v>403.488</v>
      </c>
      <c r="D77" s="12" t="s">
        <v>185</v>
      </c>
      <c r="E77" s="13" t="str">
        <f>CONCATENATE(ExpensesT2_Sankey!$D77," ","[",ExpensesT2_Sankey!$C77,"]"," ",ExpensesT2_Sankey!$A77)</f>
        <v>Non-Levy Operation [403.488] Solid Waste Management Services</v>
      </c>
      <c r="F77" s="12"/>
    </row>
    <row r="78" ht="23.25" customHeight="1">
      <c r="A78" s="12" t="s">
        <v>158</v>
      </c>
      <c r="B78" s="13">
        <v>1.30011E8</v>
      </c>
      <c r="C78" s="13">
        <f>ExpensesT2_Sankey!$B78/1000000</f>
        <v>130.011</v>
      </c>
      <c r="D78" s="12" t="s">
        <v>185</v>
      </c>
      <c r="E78" s="13" t="str">
        <f>CONCATENATE(ExpensesT2_Sankey!$D78," ","[",ExpensesT2_Sankey!$C78,"]"," ",ExpensesT2_Sankey!$A78)</f>
        <v>Non-Levy Operation [130.011] Toronto Parking Authority</v>
      </c>
      <c r="F78" s="12"/>
    </row>
    <row r="79" ht="23.25" customHeight="1">
      <c r="A79" s="12" t="s">
        <v>160</v>
      </c>
      <c r="B79" s="13">
        <v>5.03995E8</v>
      </c>
      <c r="C79" s="13">
        <f>ExpensesT2_Sankey!$B79/1000000</f>
        <v>503.995</v>
      </c>
      <c r="D79" s="12" t="s">
        <v>185</v>
      </c>
      <c r="E79" s="13" t="str">
        <f>CONCATENATE(ExpensesT2_Sankey!$D79," ","[",ExpensesT2_Sankey!$C79,"]"," ",ExpensesT2_Sankey!$A79)</f>
        <v>Non-Levy Operation [503.995] Toronto Water</v>
      </c>
      <c r="F79" s="12"/>
    </row>
    <row r="80" ht="23.25" customHeight="1">
      <c r="A80" s="12"/>
      <c r="B80" s="13"/>
      <c r="C80" s="13">
        <f>ExpensesT2_Sankey!$B80/1000000</f>
        <v>0</v>
      </c>
      <c r="D80" s="12"/>
      <c r="E80" s="12"/>
      <c r="F80" s="12"/>
    </row>
    <row r="81" ht="23.25" customHeight="1">
      <c r="A81" s="12"/>
      <c r="B81" s="13"/>
      <c r="C81" s="13">
        <f>ExpensesT2_Sankey!$B81/1000000</f>
        <v>0</v>
      </c>
      <c r="D81" s="12"/>
      <c r="E81" s="12"/>
      <c r="F81" s="12"/>
    </row>
    <row r="82" ht="23.25" customHeight="1">
      <c r="A82" s="12"/>
      <c r="B82" s="13"/>
      <c r="C82" s="13">
        <f>ExpensesT2_Sankey!$B82/1000000</f>
        <v>0</v>
      </c>
      <c r="D82" s="12"/>
      <c r="E82" s="12"/>
      <c r="F82" s="12"/>
    </row>
    <row r="83" ht="23.25" customHeight="1">
      <c r="A83" s="12"/>
      <c r="B83" s="13"/>
      <c r="C83" s="13">
        <f>ExpensesT2_Sankey!$B83/1000000</f>
        <v>0</v>
      </c>
      <c r="D83" s="12"/>
      <c r="E83" s="12"/>
      <c r="F83" s="12"/>
    </row>
    <row r="84" ht="23.25" customHeight="1">
      <c r="A84" s="12"/>
      <c r="B84" s="13"/>
      <c r="C84" s="13">
        <f>ExpensesT2_Sankey!$B84/1000000</f>
        <v>0</v>
      </c>
      <c r="D84" s="12"/>
      <c r="E84" s="12"/>
      <c r="F84" s="12"/>
    </row>
    <row r="85" ht="23.25" customHeight="1">
      <c r="A85" s="12"/>
      <c r="B85" s="13"/>
      <c r="C85" s="13">
        <f>ExpensesT2_Sankey!$B85/1000000</f>
        <v>0</v>
      </c>
      <c r="D85" s="12"/>
      <c r="E85" s="12"/>
      <c r="F85" s="12"/>
    </row>
    <row r="86" ht="23.25" customHeight="1">
      <c r="A86" s="12"/>
      <c r="B86" s="13"/>
      <c r="C86" s="13">
        <f>ExpensesT2_Sankey!$B86/1000000</f>
        <v>0</v>
      </c>
      <c r="D86" s="12"/>
      <c r="E86" s="12"/>
      <c r="F86" s="12"/>
    </row>
    <row r="87" ht="23.25" customHeight="1">
      <c r="A87" s="12"/>
      <c r="B87" s="13"/>
      <c r="C87" s="13">
        <f>ExpensesT2_Sankey!$B87/1000000</f>
        <v>0</v>
      </c>
      <c r="D87" s="12"/>
      <c r="E87" s="12"/>
      <c r="F87" s="12"/>
    </row>
    <row r="88" ht="23.25" customHeight="1">
      <c r="A88" s="15"/>
    </row>
    <row r="89" ht="23.25" customHeight="1">
      <c r="A89" s="15"/>
    </row>
    <row r="90" ht="23.25" customHeight="1">
      <c r="A90" s="15"/>
    </row>
    <row r="91" ht="23.25" customHeight="1">
      <c r="A91" s="15"/>
    </row>
    <row r="92" ht="23.25" customHeight="1">
      <c r="A92" s="15"/>
    </row>
    <row r="93" ht="23.25" customHeight="1">
      <c r="A93" s="15"/>
    </row>
    <row r="94" ht="23.25" customHeight="1">
      <c r="A94" s="15"/>
    </row>
    <row r="95" ht="23.25" customHeight="1">
      <c r="A95" s="15"/>
    </row>
    <row r="96" ht="23.25" customHeight="1">
      <c r="A96" s="15"/>
    </row>
    <row r="97" ht="23.25" customHeight="1">
      <c r="A97" s="15"/>
    </row>
    <row r="98" ht="23.25" customHeight="1">
      <c r="A98" s="15"/>
    </row>
    <row r="99" ht="23.25" customHeight="1">
      <c r="A99" s="15"/>
    </row>
    <row r="100" ht="23.25" customHeight="1">
      <c r="A100" s="15"/>
    </row>
    <row r="101" ht="23.25" customHeight="1">
      <c r="A101" s="15"/>
    </row>
    <row r="102" ht="23.25" customHeight="1">
      <c r="A102" s="15"/>
    </row>
    <row r="103" ht="23.25" customHeight="1">
      <c r="A103" s="15"/>
    </row>
    <row r="104" ht="23.25" customHeight="1">
      <c r="A104" s="15"/>
    </row>
    <row r="105" ht="23.25" customHeight="1">
      <c r="A105" s="15"/>
    </row>
    <row r="106" ht="23.25" customHeight="1">
      <c r="A106" s="15"/>
    </row>
    <row r="107" ht="23.25" customHeight="1">
      <c r="A107" s="15"/>
    </row>
    <row r="108" ht="23.25" customHeight="1">
      <c r="A108" s="15"/>
    </row>
    <row r="109" ht="23.25" customHeight="1">
      <c r="A109" s="15"/>
    </row>
    <row r="110" ht="23.25" customHeight="1">
      <c r="A110" s="15"/>
    </row>
    <row r="111" ht="23.25" customHeight="1">
      <c r="A111" s="15"/>
    </row>
    <row r="112" ht="23.25" customHeight="1">
      <c r="A112" s="15"/>
    </row>
    <row r="113" ht="23.25" customHeight="1">
      <c r="A113" s="15"/>
    </row>
    <row r="114" ht="15.75" customHeight="1">
      <c r="A114" s="15"/>
    </row>
    <row r="115" ht="15.75" customHeight="1">
      <c r="A115" s="15"/>
    </row>
    <row r="116" ht="15.75" customHeight="1">
      <c r="A116" s="15"/>
    </row>
    <row r="117" ht="15.75" customHeight="1">
      <c r="A117" s="15"/>
    </row>
    <row r="118" ht="15.75" customHeight="1">
      <c r="A118" s="15"/>
    </row>
    <row r="119" ht="15.75" customHeight="1">
      <c r="A119" s="15"/>
    </row>
    <row r="120" ht="15.75" customHeight="1">
      <c r="A120" s="15"/>
    </row>
    <row r="121" ht="15.75" customHeight="1">
      <c r="A121" s="15"/>
    </row>
    <row r="122" ht="15.75" customHeight="1">
      <c r="A122" s="15"/>
    </row>
    <row r="123" ht="15.75" customHeight="1">
      <c r="A123" s="15"/>
    </row>
    <row r="124" ht="15.75" customHeight="1">
      <c r="A124" s="15"/>
    </row>
    <row r="125" ht="15.75" customHeight="1">
      <c r="A125" s="15"/>
    </row>
    <row r="126" ht="15.75" customHeight="1">
      <c r="A126" s="15"/>
    </row>
    <row r="127" ht="15.75" customHeight="1">
      <c r="A127" s="15"/>
    </row>
    <row r="128" ht="15.75" customHeight="1">
      <c r="A128" s="15"/>
    </row>
    <row r="129" ht="15.75" customHeight="1">
      <c r="A129" s="15"/>
    </row>
    <row r="130" ht="15.75" customHeight="1">
      <c r="A130" s="15"/>
    </row>
    <row r="131" ht="15.75" customHeight="1">
      <c r="A131" s="15"/>
    </row>
    <row r="132" ht="15.75" customHeight="1">
      <c r="A132" s="15"/>
    </row>
    <row r="133" ht="15.75" customHeight="1">
      <c r="A133" s="15"/>
    </row>
    <row r="134" ht="15.75" customHeight="1">
      <c r="A134" s="15"/>
    </row>
    <row r="135" ht="15.75" customHeight="1">
      <c r="A135" s="15"/>
    </row>
    <row r="136" ht="15.75" customHeight="1">
      <c r="A136" s="15"/>
    </row>
    <row r="137" ht="15.75" customHeight="1">
      <c r="A137" s="15"/>
    </row>
    <row r="138" ht="15.75" customHeight="1">
      <c r="A138" s="15"/>
    </row>
    <row r="139" ht="15.75" customHeight="1">
      <c r="A139" s="15"/>
    </row>
    <row r="140" ht="15.75" customHeight="1">
      <c r="A140" s="15"/>
    </row>
    <row r="141" ht="15.75" customHeight="1">
      <c r="A141" s="15"/>
    </row>
    <row r="142" ht="15.75" customHeight="1">
      <c r="A142" s="15"/>
    </row>
    <row r="143" ht="15.75" customHeight="1">
      <c r="A143" s="15"/>
    </row>
    <row r="144" ht="15.75" customHeight="1">
      <c r="A144" s="15"/>
    </row>
    <row r="145" ht="15.75" customHeight="1">
      <c r="A145" s="15"/>
    </row>
    <row r="146" ht="15.75" customHeight="1">
      <c r="A146" s="15"/>
    </row>
    <row r="147" ht="15.75" customHeight="1">
      <c r="A147" s="15"/>
    </row>
    <row r="148" ht="15.75" customHeight="1">
      <c r="A148" s="15"/>
    </row>
    <row r="149" ht="15.75" customHeight="1">
      <c r="A149" s="15"/>
    </row>
    <row r="150" ht="15.75" customHeight="1">
      <c r="A150" s="15"/>
    </row>
    <row r="151" ht="15.75" customHeight="1">
      <c r="A151" s="15"/>
    </row>
    <row r="152" ht="15.75" customHeight="1">
      <c r="A152" s="15"/>
    </row>
    <row r="153" ht="15.75" customHeight="1">
      <c r="A153" s="15"/>
    </row>
    <row r="154" ht="15.75" customHeight="1">
      <c r="A154" s="15"/>
    </row>
    <row r="155" ht="15.75" customHeight="1">
      <c r="A155" s="15"/>
    </row>
    <row r="156" ht="15.75" customHeight="1">
      <c r="A156" s="15"/>
    </row>
    <row r="157" ht="15.75" customHeight="1">
      <c r="A157" s="15"/>
    </row>
    <row r="158" ht="15.75" customHeight="1">
      <c r="A158" s="15"/>
    </row>
    <row r="159" ht="15.75" customHeight="1">
      <c r="A159" s="15"/>
    </row>
    <row r="160" ht="15.75" customHeight="1">
      <c r="A160" s="15"/>
    </row>
    <row r="161" ht="15.75" customHeight="1">
      <c r="A161" s="15"/>
    </row>
    <row r="162" ht="15.75" customHeight="1">
      <c r="A162" s="15"/>
    </row>
    <row r="163" ht="15.75" customHeight="1">
      <c r="A163" s="15"/>
    </row>
    <row r="164" ht="15.75" customHeight="1">
      <c r="A164" s="15"/>
    </row>
    <row r="165" ht="15.75" customHeight="1">
      <c r="A165" s="15"/>
    </row>
    <row r="166" ht="15.75" customHeight="1">
      <c r="A166" s="15"/>
    </row>
    <row r="167" ht="15.75" customHeight="1">
      <c r="A167" s="15"/>
    </row>
    <row r="168" ht="15.75" customHeight="1">
      <c r="A168" s="15"/>
    </row>
    <row r="169" ht="15.75" customHeight="1">
      <c r="A169" s="15"/>
    </row>
    <row r="170" ht="15.75" customHeight="1">
      <c r="A170" s="15"/>
    </row>
    <row r="171" ht="15.75" customHeight="1">
      <c r="A171" s="15"/>
    </row>
    <row r="172" ht="15.75" customHeight="1">
      <c r="A172" s="15"/>
    </row>
    <row r="173" ht="15.75" customHeight="1">
      <c r="A173" s="15"/>
    </row>
    <row r="174" ht="15.75" customHeight="1">
      <c r="A174" s="15"/>
    </row>
    <row r="175" ht="15.75" customHeight="1">
      <c r="A175" s="15"/>
    </row>
    <row r="176" ht="15.75" customHeight="1">
      <c r="A176" s="15"/>
    </row>
    <row r="177" ht="15.75" customHeight="1">
      <c r="A177" s="15"/>
    </row>
    <row r="178" ht="15.75" customHeight="1">
      <c r="A178" s="15"/>
    </row>
    <row r="179" ht="15.75" customHeight="1">
      <c r="A179" s="15"/>
    </row>
    <row r="180" ht="15.75" customHeight="1">
      <c r="A180" s="15"/>
    </row>
    <row r="181" ht="15.75" customHeight="1">
      <c r="A181" s="15"/>
    </row>
    <row r="182" ht="15.75" customHeight="1">
      <c r="A182" s="15"/>
    </row>
    <row r="183" ht="15.75" customHeight="1">
      <c r="A183" s="15"/>
    </row>
    <row r="184" ht="15.75" customHeight="1">
      <c r="A184" s="15"/>
    </row>
    <row r="185" ht="15.75" customHeight="1">
      <c r="A185" s="15"/>
    </row>
    <row r="186" ht="15.75" customHeight="1">
      <c r="A186" s="15"/>
    </row>
    <row r="187" ht="15.75" customHeight="1">
      <c r="A187" s="15"/>
    </row>
    <row r="188" ht="15.75" customHeight="1">
      <c r="A188" s="15"/>
    </row>
    <row r="189" ht="15.75" customHeight="1">
      <c r="A189" s="15"/>
    </row>
    <row r="190" ht="15.75" customHeight="1">
      <c r="A190" s="15"/>
    </row>
    <row r="191" ht="15.75" customHeight="1">
      <c r="A191" s="15"/>
    </row>
    <row r="192" ht="15.75" customHeight="1">
      <c r="A192" s="15"/>
    </row>
    <row r="193" ht="15.75" customHeight="1">
      <c r="A193" s="15"/>
    </row>
    <row r="194" ht="15.75" customHeight="1">
      <c r="A194" s="15"/>
    </row>
    <row r="195" ht="15.75" customHeight="1">
      <c r="A195" s="15"/>
    </row>
    <row r="196" ht="15.75" customHeight="1">
      <c r="A196" s="15"/>
    </row>
    <row r="197" ht="15.75" customHeight="1">
      <c r="A197" s="15"/>
    </row>
    <row r="198" ht="15.75" customHeight="1">
      <c r="A198" s="15"/>
    </row>
    <row r="199" ht="15.75" customHeight="1">
      <c r="A199" s="15"/>
    </row>
    <row r="200" ht="15.75" customHeight="1">
      <c r="A200" s="15"/>
    </row>
    <row r="201" ht="15.75" customHeight="1">
      <c r="A201" s="15"/>
    </row>
    <row r="202" ht="15.75" customHeight="1">
      <c r="A202" s="15"/>
    </row>
    <row r="203" ht="15.75" customHeight="1">
      <c r="A203" s="15"/>
    </row>
    <row r="204" ht="15.75" customHeight="1">
      <c r="A204" s="15"/>
    </row>
    <row r="205" ht="15.75" customHeight="1">
      <c r="A205" s="15"/>
    </row>
    <row r="206" ht="15.75" customHeight="1">
      <c r="A206" s="15"/>
    </row>
    <row r="207" ht="15.75" customHeight="1">
      <c r="A207" s="15"/>
    </row>
    <row r="208" ht="15.75" customHeight="1">
      <c r="A208" s="15"/>
    </row>
    <row r="209" ht="15.75" customHeight="1">
      <c r="A209" s="15"/>
    </row>
    <row r="210" ht="15.75" customHeight="1">
      <c r="A210" s="15"/>
    </row>
    <row r="211" ht="15.75" customHeight="1">
      <c r="A211" s="15"/>
    </row>
    <row r="212" ht="15.75" customHeight="1">
      <c r="A212" s="15"/>
    </row>
    <row r="213" ht="15.75" customHeight="1">
      <c r="A213" s="15"/>
    </row>
    <row r="214" ht="15.75" customHeight="1">
      <c r="A214" s="15"/>
    </row>
    <row r="215" ht="15.75" customHeight="1">
      <c r="A215" s="15"/>
    </row>
    <row r="216" ht="15.75" customHeight="1">
      <c r="A216" s="15"/>
    </row>
    <row r="217" ht="15.75" customHeight="1">
      <c r="A217" s="15"/>
    </row>
    <row r="218" ht="15.75" customHeight="1">
      <c r="A218" s="15"/>
    </row>
    <row r="219" ht="15.75" customHeight="1">
      <c r="A219" s="15"/>
    </row>
    <row r="220" ht="15.75" customHeight="1">
      <c r="A220" s="15"/>
    </row>
    <row r="221" ht="15.75" customHeight="1">
      <c r="A221" s="15"/>
    </row>
    <row r="222" ht="15.75" customHeight="1">
      <c r="A222" s="15"/>
    </row>
    <row r="223" ht="15.75" customHeight="1">
      <c r="A223" s="15"/>
    </row>
    <row r="224" ht="15.75" customHeight="1">
      <c r="A224" s="15"/>
    </row>
    <row r="225" ht="15.75" customHeight="1">
      <c r="A225" s="15"/>
    </row>
    <row r="226" ht="15.75" customHeight="1">
      <c r="A226" s="15"/>
    </row>
    <row r="227" ht="15.75" customHeight="1">
      <c r="A227" s="15"/>
    </row>
    <row r="228" ht="15.75" customHeight="1">
      <c r="A228" s="15"/>
    </row>
    <row r="229" ht="15.75" customHeight="1">
      <c r="A229" s="15"/>
    </row>
    <row r="230" ht="15.75" customHeight="1">
      <c r="A230" s="15"/>
    </row>
    <row r="231" ht="15.75" customHeight="1">
      <c r="A231" s="15"/>
    </row>
    <row r="232" ht="15.75" customHeight="1">
      <c r="A232" s="15"/>
    </row>
    <row r="233" ht="15.75" customHeight="1">
      <c r="A233" s="15"/>
    </row>
    <row r="234" ht="15.75" customHeight="1">
      <c r="A234" s="15"/>
    </row>
    <row r="235" ht="15.75" customHeight="1">
      <c r="A235" s="15"/>
    </row>
    <row r="236" ht="15.75" customHeight="1">
      <c r="A236" s="15"/>
    </row>
    <row r="237" ht="15.75" customHeight="1">
      <c r="A237" s="15"/>
    </row>
    <row r="238" ht="15.75" customHeight="1">
      <c r="A238" s="15"/>
    </row>
    <row r="239" ht="15.75" customHeight="1">
      <c r="A239" s="15"/>
    </row>
    <row r="240" ht="15.75" customHeight="1">
      <c r="A240" s="15"/>
    </row>
    <row r="241" ht="15.75" customHeight="1">
      <c r="A241" s="15"/>
    </row>
    <row r="242" ht="15.75" customHeight="1">
      <c r="A242" s="15"/>
    </row>
    <row r="243" ht="15.75" customHeight="1">
      <c r="A243" s="15"/>
    </row>
    <row r="244" ht="15.75" customHeight="1">
      <c r="A244" s="15"/>
    </row>
    <row r="245" ht="15.75" customHeight="1">
      <c r="A245" s="15"/>
    </row>
    <row r="246" ht="15.75" customHeight="1">
      <c r="A246" s="15"/>
    </row>
    <row r="247" ht="15.75" customHeight="1">
      <c r="A247" s="15"/>
    </row>
    <row r="248" ht="15.75" customHeight="1">
      <c r="A248" s="15"/>
    </row>
    <row r="249" ht="15.75" customHeight="1">
      <c r="A249" s="15"/>
    </row>
    <row r="250" ht="15.75" customHeight="1">
      <c r="A250" s="15"/>
    </row>
    <row r="251" ht="15.75" customHeight="1">
      <c r="A251" s="15"/>
    </row>
    <row r="252" ht="15.75" customHeight="1">
      <c r="A252" s="15"/>
    </row>
    <row r="253" ht="15.75" customHeight="1">
      <c r="A253" s="15"/>
    </row>
    <row r="254" ht="15.75" customHeight="1">
      <c r="A254" s="15"/>
    </row>
    <row r="255" ht="15.75" customHeight="1">
      <c r="A255" s="15"/>
    </row>
    <row r="256" ht="15.75" customHeight="1">
      <c r="A256" s="15"/>
    </row>
    <row r="257" ht="15.75" customHeight="1">
      <c r="A257" s="15"/>
    </row>
    <row r="258" ht="15.75" customHeight="1">
      <c r="A258" s="15"/>
    </row>
    <row r="259" ht="15.75" customHeight="1">
      <c r="A259" s="15"/>
    </row>
    <row r="260" ht="15.75" customHeight="1">
      <c r="A260" s="15"/>
    </row>
    <row r="261" ht="15.75" customHeight="1">
      <c r="A261" s="15"/>
    </row>
    <row r="262" ht="15.75" customHeight="1">
      <c r="A262" s="15"/>
    </row>
    <row r="263" ht="15.75" customHeight="1">
      <c r="A263" s="15"/>
    </row>
    <row r="264" ht="15.75" customHeight="1">
      <c r="A264" s="15"/>
    </row>
    <row r="265" ht="15.75" customHeight="1">
      <c r="A265" s="15"/>
    </row>
    <row r="266" ht="15.75" customHeight="1">
      <c r="A266" s="15"/>
    </row>
    <row r="267" ht="15.75" customHeight="1">
      <c r="A267" s="15"/>
    </row>
    <row r="268" ht="15.75" customHeight="1">
      <c r="A268" s="15"/>
    </row>
    <row r="269" ht="15.75" customHeight="1">
      <c r="A269" s="15"/>
    </row>
    <row r="270" ht="15.75" customHeight="1">
      <c r="A270" s="15"/>
    </row>
    <row r="271" ht="15.75" customHeight="1">
      <c r="A271" s="15"/>
    </row>
    <row r="272" ht="15.75" customHeight="1">
      <c r="A272" s="15"/>
    </row>
    <row r="273" ht="15.75" customHeight="1">
      <c r="A273" s="15"/>
    </row>
    <row r="274" ht="15.75" customHeight="1">
      <c r="A274" s="15"/>
    </row>
    <row r="275" ht="15.75" customHeight="1">
      <c r="A275" s="15"/>
    </row>
    <row r="276" ht="15.75" customHeight="1">
      <c r="A276" s="15"/>
    </row>
    <row r="277" ht="15.75" customHeight="1">
      <c r="A277" s="15"/>
    </row>
    <row r="278" ht="15.75" customHeight="1">
      <c r="A278" s="15"/>
    </row>
    <row r="279" ht="15.75" customHeight="1">
      <c r="A279" s="15"/>
    </row>
    <row r="280" ht="15.75" customHeight="1">
      <c r="A280" s="15"/>
    </row>
    <row r="281" ht="15.75" customHeight="1">
      <c r="A281" s="15"/>
    </row>
    <row r="282" ht="15.75" customHeight="1">
      <c r="A282" s="15"/>
    </row>
    <row r="283" ht="15.75" customHeight="1">
      <c r="A283" s="15"/>
    </row>
    <row r="284" ht="15.75" customHeight="1">
      <c r="A284" s="15"/>
    </row>
    <row r="285" ht="15.75" customHeight="1">
      <c r="A285" s="15"/>
    </row>
    <row r="286" ht="15.75" customHeight="1">
      <c r="A286" s="15"/>
    </row>
    <row r="287" ht="15.75" customHeight="1">
      <c r="A287" s="15"/>
    </row>
    <row r="288" ht="15.75" customHeight="1">
      <c r="A288" s="15"/>
    </row>
    <row r="289" ht="15.75" customHeight="1">
      <c r="A289" s="15"/>
    </row>
    <row r="290" ht="15.75" customHeight="1">
      <c r="A290" s="15"/>
    </row>
    <row r="291" ht="15.75" customHeight="1">
      <c r="A291" s="15"/>
    </row>
    <row r="292" ht="15.75" customHeight="1">
      <c r="A292" s="15"/>
    </row>
    <row r="293" ht="15.75" customHeight="1">
      <c r="A293" s="15"/>
    </row>
    <row r="294" ht="15.75" customHeight="1">
      <c r="A294" s="15"/>
    </row>
    <row r="295" ht="15.75" customHeight="1">
      <c r="A295" s="15"/>
    </row>
    <row r="296" ht="15.75" customHeight="1">
      <c r="A296" s="15"/>
    </row>
    <row r="297" ht="15.75" customHeight="1">
      <c r="A297" s="15"/>
    </row>
    <row r="298" ht="15.75" customHeight="1">
      <c r="A298" s="15"/>
    </row>
    <row r="299" ht="15.75" customHeight="1">
      <c r="A299" s="15"/>
    </row>
    <row r="300" ht="15.75" customHeight="1">
      <c r="A300" s="15"/>
    </row>
    <row r="301" ht="15.75" customHeight="1">
      <c r="A301" s="15"/>
    </row>
    <row r="302" ht="15.75" customHeight="1">
      <c r="A302" s="15"/>
    </row>
    <row r="303" ht="15.75" customHeight="1">
      <c r="A303" s="15"/>
    </row>
    <row r="304" ht="15.75" customHeight="1">
      <c r="A304" s="15"/>
    </row>
    <row r="305" ht="15.75" customHeight="1">
      <c r="A305" s="15"/>
    </row>
    <row r="306" ht="15.75" customHeight="1">
      <c r="A306" s="15"/>
    </row>
    <row r="307" ht="15.75" customHeight="1">
      <c r="A307" s="15"/>
    </row>
    <row r="308" ht="15.75" customHeight="1">
      <c r="A308" s="15"/>
    </row>
    <row r="309" ht="15.75" customHeight="1">
      <c r="A309" s="15"/>
    </row>
    <row r="310" ht="15.75" customHeight="1">
      <c r="A310" s="15"/>
    </row>
    <row r="311" ht="15.75" customHeight="1">
      <c r="A311" s="15"/>
    </row>
    <row r="312" ht="15.75" customHeight="1">
      <c r="A312" s="15"/>
    </row>
    <row r="313" ht="15.75" customHeight="1">
      <c r="A313" s="15"/>
    </row>
    <row r="314" ht="15.75" customHeight="1">
      <c r="A314" s="15"/>
    </row>
    <row r="315" ht="15.75" customHeight="1">
      <c r="A315" s="15"/>
    </row>
    <row r="316" ht="15.75" customHeight="1">
      <c r="A316" s="15"/>
    </row>
    <row r="317" ht="15.75" customHeight="1">
      <c r="A317" s="15"/>
    </row>
    <row r="318" ht="15.75" customHeight="1">
      <c r="A318" s="15"/>
    </row>
    <row r="319" ht="15.75" customHeight="1">
      <c r="A319" s="15"/>
    </row>
    <row r="320" ht="15.75" customHeight="1">
      <c r="A320" s="15"/>
    </row>
    <row r="321" ht="15.75" customHeight="1">
      <c r="A321" s="15"/>
    </row>
    <row r="322" ht="15.75" customHeight="1">
      <c r="A322" s="15"/>
    </row>
    <row r="323" ht="15.75" customHeight="1">
      <c r="A323" s="15"/>
    </row>
    <row r="324" ht="15.75" customHeight="1">
      <c r="A324" s="15"/>
    </row>
    <row r="325" ht="15.75" customHeight="1">
      <c r="A325" s="15"/>
    </row>
    <row r="326" ht="15.75" customHeight="1">
      <c r="A326" s="15"/>
    </row>
    <row r="327" ht="15.75" customHeight="1">
      <c r="A327" s="15"/>
    </row>
    <row r="328" ht="15.75" customHeight="1">
      <c r="A328" s="15"/>
    </row>
    <row r="329" ht="15.75" customHeight="1">
      <c r="A329" s="15"/>
    </row>
    <row r="330" ht="15.75" customHeight="1">
      <c r="A330" s="15"/>
    </row>
    <row r="331" ht="15.75" customHeight="1">
      <c r="A331" s="15"/>
    </row>
    <row r="332" ht="15.75" customHeight="1">
      <c r="A332" s="15"/>
    </row>
    <row r="333" ht="15.75" customHeight="1">
      <c r="A333" s="15"/>
    </row>
    <row r="334" ht="15.75" customHeight="1">
      <c r="A334" s="15"/>
    </row>
    <row r="335" ht="15.75" customHeight="1">
      <c r="A335" s="15"/>
    </row>
    <row r="336" ht="15.75" customHeight="1">
      <c r="A336" s="15"/>
    </row>
    <row r="337" ht="15.75" customHeight="1">
      <c r="A337" s="15"/>
    </row>
    <row r="338" ht="15.75" customHeight="1">
      <c r="A338" s="15"/>
    </row>
    <row r="339" ht="15.75" customHeight="1">
      <c r="A339" s="15"/>
    </row>
    <row r="340" ht="15.75" customHeight="1">
      <c r="A340" s="15"/>
    </row>
    <row r="341" ht="15.75" customHeight="1">
      <c r="A341" s="15"/>
    </row>
    <row r="342" ht="15.75" customHeight="1">
      <c r="A342" s="15"/>
    </row>
    <row r="343" ht="15.75" customHeight="1">
      <c r="A343" s="15"/>
    </row>
    <row r="344" ht="15.75" customHeight="1">
      <c r="A344" s="15"/>
    </row>
    <row r="345" ht="15.75" customHeight="1">
      <c r="A345" s="15"/>
    </row>
    <row r="346" ht="15.75" customHeight="1">
      <c r="A346" s="15"/>
    </row>
    <row r="347" ht="15.75" customHeight="1">
      <c r="A347" s="15"/>
    </row>
    <row r="348" ht="15.75" customHeight="1">
      <c r="A348" s="15"/>
    </row>
    <row r="349" ht="15.75" customHeight="1">
      <c r="A349" s="15"/>
    </row>
    <row r="350" ht="15.75" customHeight="1">
      <c r="A350" s="15"/>
    </row>
    <row r="351" ht="15.75" customHeight="1">
      <c r="A351" s="15"/>
    </row>
    <row r="352" ht="15.75" customHeight="1">
      <c r="A352" s="15"/>
    </row>
    <row r="353" ht="15.75" customHeight="1">
      <c r="A353" s="15"/>
    </row>
    <row r="354" ht="15.75" customHeight="1">
      <c r="A354" s="15"/>
    </row>
    <row r="355" ht="15.75" customHeight="1">
      <c r="A355" s="15"/>
    </row>
    <row r="356" ht="15.75" customHeight="1">
      <c r="A356" s="15"/>
    </row>
    <row r="357" ht="15.75" customHeight="1">
      <c r="A357" s="15"/>
    </row>
    <row r="358" ht="15.75" customHeight="1">
      <c r="A358" s="15"/>
    </row>
    <row r="359" ht="15.75" customHeight="1">
      <c r="A359" s="15"/>
    </row>
    <row r="360" ht="15.75" customHeight="1">
      <c r="A360" s="15"/>
    </row>
    <row r="361" ht="15.75" customHeight="1">
      <c r="A361" s="15"/>
    </row>
    <row r="362" ht="15.75" customHeight="1">
      <c r="A362" s="15"/>
    </row>
    <row r="363" ht="15.75" customHeight="1">
      <c r="A363" s="15"/>
    </row>
    <row r="364" ht="15.75" customHeight="1">
      <c r="A364" s="15"/>
    </row>
    <row r="365" ht="15.75" customHeight="1">
      <c r="A365" s="15"/>
    </row>
    <row r="366" ht="15.75" customHeight="1">
      <c r="A366" s="15"/>
    </row>
    <row r="367" ht="15.75" customHeight="1">
      <c r="A367" s="15"/>
    </row>
    <row r="368" ht="15.75" customHeight="1">
      <c r="A368" s="15"/>
    </row>
    <row r="369" ht="15.75" customHeight="1">
      <c r="A369" s="15"/>
    </row>
    <row r="370" ht="15.75" customHeight="1">
      <c r="A370" s="15"/>
    </row>
    <row r="371" ht="15.75" customHeight="1">
      <c r="A371" s="15"/>
    </row>
    <row r="372" ht="15.75" customHeight="1">
      <c r="A372" s="15"/>
    </row>
    <row r="373" ht="15.75" customHeight="1">
      <c r="A373" s="15"/>
    </row>
    <row r="374" ht="15.75" customHeight="1">
      <c r="A374" s="15"/>
    </row>
    <row r="375" ht="15.75" customHeight="1">
      <c r="A375" s="15"/>
    </row>
    <row r="376" ht="15.75" customHeight="1">
      <c r="A376" s="15"/>
    </row>
    <row r="377" ht="15.75" customHeight="1">
      <c r="A377" s="15"/>
    </row>
    <row r="378" ht="15.75" customHeight="1">
      <c r="A378" s="15"/>
    </row>
    <row r="379" ht="15.75" customHeight="1">
      <c r="A379" s="15"/>
    </row>
    <row r="380" ht="15.75" customHeight="1">
      <c r="A380" s="15"/>
    </row>
    <row r="381" ht="15.75" customHeight="1">
      <c r="A381" s="15"/>
    </row>
    <row r="382" ht="15.75" customHeight="1">
      <c r="A382" s="15"/>
    </row>
    <row r="383" ht="15.75" customHeight="1">
      <c r="A383" s="15"/>
    </row>
    <row r="384" ht="15.75" customHeight="1">
      <c r="A384" s="15"/>
    </row>
    <row r="385" ht="15.75" customHeight="1">
      <c r="A385" s="15"/>
    </row>
    <row r="386" ht="15.75" customHeight="1">
      <c r="A386" s="15"/>
    </row>
    <row r="387" ht="15.75" customHeight="1">
      <c r="A387" s="15"/>
    </row>
    <row r="388" ht="15.75" customHeight="1">
      <c r="A388" s="15"/>
    </row>
    <row r="389" ht="15.75" customHeight="1">
      <c r="A389" s="15"/>
    </row>
    <row r="390" ht="15.75" customHeight="1">
      <c r="A390" s="15"/>
    </row>
    <row r="391" ht="15.75" customHeight="1">
      <c r="A391" s="15"/>
    </row>
    <row r="392" ht="15.75" customHeight="1">
      <c r="A392" s="15"/>
    </row>
    <row r="393" ht="15.75" customHeight="1">
      <c r="A393" s="15"/>
    </row>
    <row r="394" ht="15.75" customHeight="1">
      <c r="A394" s="15"/>
    </row>
    <row r="395" ht="15.75" customHeight="1">
      <c r="A395" s="15"/>
    </row>
    <row r="396" ht="15.75" customHeight="1">
      <c r="A396" s="15"/>
    </row>
    <row r="397" ht="15.75" customHeight="1">
      <c r="A397" s="15"/>
    </row>
    <row r="398" ht="15.75" customHeight="1">
      <c r="A398" s="15"/>
    </row>
    <row r="399" ht="15.75" customHeight="1">
      <c r="A399" s="15"/>
    </row>
    <row r="400" ht="15.75" customHeight="1">
      <c r="A400" s="15"/>
    </row>
    <row r="401" ht="15.75" customHeight="1">
      <c r="A401" s="15"/>
    </row>
    <row r="402" ht="15.75" customHeight="1">
      <c r="A402" s="15"/>
    </row>
    <row r="403" ht="15.75" customHeight="1">
      <c r="A403" s="15"/>
    </row>
    <row r="404" ht="15.75" customHeight="1">
      <c r="A404" s="15"/>
    </row>
    <row r="405" ht="15.75" customHeight="1">
      <c r="A405" s="15"/>
    </row>
    <row r="406" ht="15.75" customHeight="1">
      <c r="A406" s="15"/>
    </row>
    <row r="407" ht="15.75" customHeight="1">
      <c r="A407" s="15"/>
    </row>
    <row r="408" ht="15.75" customHeight="1">
      <c r="A408" s="15"/>
    </row>
    <row r="409" ht="15.75" customHeight="1">
      <c r="A409" s="15"/>
    </row>
    <row r="410" ht="15.75" customHeight="1">
      <c r="A410" s="15"/>
    </row>
    <row r="411" ht="15.75" customHeight="1">
      <c r="A411" s="15"/>
    </row>
    <row r="412" ht="15.75" customHeight="1">
      <c r="A412" s="15"/>
    </row>
    <row r="413" ht="15.75" customHeight="1">
      <c r="A413" s="15"/>
    </row>
    <row r="414" ht="15.75" customHeight="1">
      <c r="A414" s="15"/>
    </row>
    <row r="415" ht="15.75" customHeight="1">
      <c r="A415" s="15"/>
    </row>
    <row r="416" ht="15.75" customHeight="1">
      <c r="A416" s="15"/>
    </row>
    <row r="417" ht="15.75" customHeight="1">
      <c r="A417" s="15"/>
    </row>
    <row r="418" ht="15.75" customHeight="1">
      <c r="A418" s="15"/>
    </row>
    <row r="419" ht="15.75" customHeight="1">
      <c r="A419" s="15"/>
    </row>
    <row r="420" ht="15.75" customHeight="1">
      <c r="A420" s="15"/>
    </row>
    <row r="421" ht="15.75" customHeight="1">
      <c r="A421" s="15"/>
    </row>
    <row r="422" ht="15.75" customHeight="1">
      <c r="A422" s="15"/>
    </row>
    <row r="423" ht="15.75" customHeight="1">
      <c r="A423" s="15"/>
    </row>
    <row r="424" ht="15.75" customHeight="1">
      <c r="A424" s="15"/>
    </row>
    <row r="425" ht="15.75" customHeight="1">
      <c r="A425" s="15"/>
    </row>
    <row r="426" ht="15.75" customHeight="1">
      <c r="A426" s="15"/>
    </row>
    <row r="427" ht="15.75" customHeight="1">
      <c r="A427" s="15"/>
    </row>
    <row r="428" ht="15.75" customHeight="1">
      <c r="A428" s="15"/>
    </row>
    <row r="429" ht="15.75" customHeight="1">
      <c r="A429" s="15"/>
    </row>
    <row r="430" ht="15.75" customHeight="1">
      <c r="A430" s="15"/>
    </row>
    <row r="431" ht="15.75" customHeight="1">
      <c r="A431" s="15"/>
    </row>
    <row r="432" ht="15.75" customHeight="1">
      <c r="A432" s="15"/>
    </row>
    <row r="433" ht="15.75" customHeight="1">
      <c r="A433" s="15"/>
    </row>
    <row r="434" ht="15.75" customHeight="1">
      <c r="A434" s="15"/>
    </row>
    <row r="435" ht="15.75" customHeight="1">
      <c r="A435" s="15"/>
    </row>
    <row r="436" ht="15.75" customHeight="1">
      <c r="A436" s="15"/>
    </row>
    <row r="437" ht="15.75" customHeight="1">
      <c r="A437" s="15"/>
    </row>
    <row r="438" ht="15.75" customHeight="1">
      <c r="A438" s="15"/>
    </row>
    <row r="439" ht="15.75" customHeight="1">
      <c r="A439" s="15"/>
    </row>
    <row r="440" ht="15.75" customHeight="1">
      <c r="A440" s="15"/>
    </row>
    <row r="441" ht="15.75" customHeight="1">
      <c r="A441" s="15"/>
    </row>
    <row r="442" ht="15.75" customHeight="1">
      <c r="A442" s="15"/>
    </row>
    <row r="443" ht="15.75" customHeight="1">
      <c r="A443" s="15"/>
    </row>
    <row r="444" ht="15.75" customHeight="1">
      <c r="A444" s="15"/>
    </row>
    <row r="445" ht="15.75" customHeight="1">
      <c r="A445" s="15"/>
    </row>
    <row r="446" ht="15.75" customHeight="1">
      <c r="A446" s="15"/>
    </row>
    <row r="447" ht="15.75" customHeight="1">
      <c r="A447" s="15"/>
    </row>
    <row r="448" ht="15.75" customHeight="1">
      <c r="A448" s="15"/>
    </row>
    <row r="449" ht="15.75" customHeight="1">
      <c r="A449" s="15"/>
    </row>
    <row r="450" ht="15.75" customHeight="1">
      <c r="A450" s="15"/>
    </row>
    <row r="451" ht="15.75" customHeight="1">
      <c r="A451" s="15"/>
    </row>
    <row r="452" ht="15.75" customHeight="1">
      <c r="A452" s="15"/>
    </row>
    <row r="453" ht="15.75" customHeight="1">
      <c r="A453" s="15"/>
    </row>
    <row r="454" ht="15.75" customHeight="1">
      <c r="A454" s="15"/>
    </row>
    <row r="455" ht="15.75" customHeight="1">
      <c r="A455" s="15"/>
    </row>
    <row r="456" ht="15.75" customHeight="1">
      <c r="A456" s="15"/>
    </row>
    <row r="457" ht="15.75" customHeight="1">
      <c r="A457" s="15"/>
    </row>
    <row r="458" ht="15.75" customHeight="1">
      <c r="A458" s="15"/>
    </row>
    <row r="459" ht="15.75" customHeight="1">
      <c r="A459" s="15"/>
    </row>
    <row r="460" ht="15.75" customHeight="1">
      <c r="A460" s="15"/>
    </row>
    <row r="461" ht="15.75" customHeight="1">
      <c r="A461" s="15"/>
    </row>
    <row r="462" ht="15.75" customHeight="1">
      <c r="A462" s="15"/>
    </row>
    <row r="463" ht="15.75" customHeight="1">
      <c r="A463" s="15"/>
    </row>
    <row r="464" ht="15.75" customHeight="1">
      <c r="A464" s="15"/>
    </row>
    <row r="465" ht="15.75" customHeight="1">
      <c r="A465" s="15"/>
    </row>
    <row r="466" ht="15.75" customHeight="1">
      <c r="A466" s="15"/>
    </row>
    <row r="467" ht="15.75" customHeight="1">
      <c r="A467" s="15"/>
    </row>
    <row r="468" ht="15.75" customHeight="1">
      <c r="A468" s="15"/>
    </row>
    <row r="469" ht="15.75" customHeight="1">
      <c r="A469" s="15"/>
    </row>
    <row r="470" ht="15.75" customHeight="1">
      <c r="A470" s="15"/>
    </row>
    <row r="471" ht="15.75" customHeight="1">
      <c r="A471" s="15"/>
    </row>
    <row r="472" ht="15.75" customHeight="1">
      <c r="A472" s="15"/>
    </row>
    <row r="473" ht="15.75" customHeight="1">
      <c r="A473" s="15"/>
    </row>
    <row r="474" ht="15.75" customHeight="1">
      <c r="A474" s="15"/>
    </row>
    <row r="475" ht="15.75" customHeight="1">
      <c r="A475" s="15"/>
    </row>
    <row r="476" ht="15.75" customHeight="1">
      <c r="A476" s="15"/>
    </row>
    <row r="477" ht="15.75" customHeight="1">
      <c r="A477" s="15"/>
    </row>
    <row r="478" ht="15.75" customHeight="1">
      <c r="A478" s="15"/>
    </row>
    <row r="479" ht="15.75" customHeight="1">
      <c r="A479" s="15"/>
    </row>
    <row r="480" ht="15.75" customHeight="1">
      <c r="A480" s="15"/>
    </row>
    <row r="481" ht="15.75" customHeight="1">
      <c r="A481" s="15"/>
    </row>
    <row r="482" ht="15.75" customHeight="1">
      <c r="A482" s="15"/>
    </row>
    <row r="483" ht="15.75" customHeight="1">
      <c r="A483" s="15"/>
    </row>
    <row r="484" ht="15.75" customHeight="1">
      <c r="A484" s="15"/>
    </row>
    <row r="485" ht="15.75" customHeight="1">
      <c r="A485" s="15"/>
    </row>
    <row r="486" ht="15.75" customHeight="1">
      <c r="A486" s="15"/>
    </row>
    <row r="487" ht="15.75" customHeight="1">
      <c r="A487" s="15"/>
    </row>
    <row r="488" ht="15.75" customHeight="1">
      <c r="A488" s="15"/>
    </row>
    <row r="489" ht="15.75" customHeight="1">
      <c r="A489" s="15"/>
    </row>
    <row r="490" ht="15.75" customHeight="1">
      <c r="A490" s="15"/>
    </row>
    <row r="491" ht="15.75" customHeight="1">
      <c r="A491" s="15"/>
    </row>
    <row r="492" ht="15.75" customHeight="1">
      <c r="A492" s="15"/>
    </row>
    <row r="493" ht="15.75" customHeight="1">
      <c r="A493" s="15"/>
    </row>
    <row r="494" ht="15.75" customHeight="1">
      <c r="A494" s="15"/>
    </row>
    <row r="495" ht="15.75" customHeight="1">
      <c r="A495" s="15"/>
    </row>
    <row r="496" ht="15.75" customHeight="1">
      <c r="A496" s="15"/>
    </row>
    <row r="497" ht="15.75" customHeight="1">
      <c r="A497" s="15"/>
    </row>
    <row r="498" ht="15.75" customHeight="1">
      <c r="A498" s="15"/>
    </row>
    <row r="499" ht="15.75" customHeight="1">
      <c r="A499" s="15"/>
    </row>
    <row r="500" ht="15.75" customHeight="1">
      <c r="A500" s="15"/>
    </row>
    <row r="501" ht="15.75" customHeight="1">
      <c r="A501" s="15"/>
    </row>
    <row r="502" ht="15.75" customHeight="1">
      <c r="A502" s="15"/>
    </row>
    <row r="503" ht="15.75" customHeight="1">
      <c r="A503" s="15"/>
    </row>
    <row r="504" ht="15.75" customHeight="1">
      <c r="A504" s="15"/>
    </row>
    <row r="505" ht="15.75" customHeight="1">
      <c r="A505" s="15"/>
    </row>
    <row r="506" ht="15.75" customHeight="1">
      <c r="A506" s="15"/>
    </row>
    <row r="507" ht="15.75" customHeight="1">
      <c r="A507" s="15"/>
    </row>
    <row r="508" ht="15.75" customHeight="1">
      <c r="A508" s="15"/>
    </row>
    <row r="509" ht="15.75" customHeight="1">
      <c r="A509" s="15"/>
    </row>
    <row r="510" ht="15.75" customHeight="1">
      <c r="A510" s="15"/>
    </row>
    <row r="511" ht="15.75" customHeight="1">
      <c r="A511" s="15"/>
    </row>
    <row r="512" ht="15.75" customHeight="1">
      <c r="A512" s="15"/>
    </row>
    <row r="513" ht="15.75" customHeight="1">
      <c r="A513" s="15"/>
    </row>
    <row r="514" ht="15.75" customHeight="1">
      <c r="A514" s="15"/>
    </row>
    <row r="515" ht="15.75" customHeight="1">
      <c r="A515" s="15"/>
    </row>
    <row r="516" ht="15.75" customHeight="1">
      <c r="A516" s="15"/>
    </row>
    <row r="517" ht="15.75" customHeight="1">
      <c r="A517" s="15"/>
    </row>
    <row r="518" ht="15.75" customHeight="1">
      <c r="A518" s="15"/>
    </row>
    <row r="519" ht="15.75" customHeight="1">
      <c r="A519" s="15"/>
    </row>
    <row r="520" ht="15.75" customHeight="1">
      <c r="A520" s="15"/>
    </row>
    <row r="521" ht="15.75" customHeight="1">
      <c r="A521" s="15"/>
    </row>
    <row r="522" ht="15.75" customHeight="1">
      <c r="A522" s="15"/>
    </row>
    <row r="523" ht="15.75" customHeight="1">
      <c r="A523" s="15"/>
    </row>
    <row r="524" ht="15.75" customHeight="1">
      <c r="A524" s="15"/>
    </row>
    <row r="525" ht="15.75" customHeight="1">
      <c r="A525" s="15"/>
    </row>
    <row r="526" ht="15.75" customHeight="1">
      <c r="A526" s="15"/>
    </row>
    <row r="527" ht="15.75" customHeight="1">
      <c r="A527" s="15"/>
    </row>
    <row r="528" ht="15.75" customHeight="1">
      <c r="A528" s="15"/>
    </row>
    <row r="529" ht="15.75" customHeight="1">
      <c r="A529" s="15"/>
    </row>
    <row r="530" ht="15.75" customHeight="1">
      <c r="A530" s="15"/>
    </row>
    <row r="531" ht="15.75" customHeight="1">
      <c r="A531" s="15"/>
    </row>
    <row r="532" ht="15.75" customHeight="1">
      <c r="A532" s="15"/>
    </row>
    <row r="533" ht="15.75" customHeight="1">
      <c r="A533" s="15"/>
    </row>
    <row r="534" ht="15.75" customHeight="1">
      <c r="A534" s="15"/>
    </row>
    <row r="535" ht="15.75" customHeight="1">
      <c r="A535" s="15"/>
    </row>
    <row r="536" ht="15.75" customHeight="1">
      <c r="A536" s="15"/>
    </row>
    <row r="537" ht="15.75" customHeight="1">
      <c r="A537" s="15"/>
    </row>
    <row r="538" ht="15.75" customHeight="1">
      <c r="A538" s="15"/>
    </row>
    <row r="539" ht="15.75" customHeight="1">
      <c r="A539" s="15"/>
    </row>
    <row r="540" ht="15.75" customHeight="1">
      <c r="A540" s="15"/>
    </row>
    <row r="541" ht="15.75" customHeight="1">
      <c r="A541" s="15"/>
    </row>
    <row r="542" ht="15.75" customHeight="1">
      <c r="A542" s="15"/>
    </row>
    <row r="543" ht="15.75" customHeight="1">
      <c r="A543" s="15"/>
    </row>
    <row r="544" ht="15.75" customHeight="1">
      <c r="A544" s="15"/>
    </row>
    <row r="545" ht="15.75" customHeight="1">
      <c r="A545" s="15"/>
    </row>
    <row r="546" ht="15.75" customHeight="1">
      <c r="A546" s="15"/>
    </row>
    <row r="547" ht="15.75" customHeight="1">
      <c r="A547" s="15"/>
    </row>
    <row r="548" ht="15.75" customHeight="1">
      <c r="A548" s="15"/>
    </row>
    <row r="549" ht="15.75" customHeight="1">
      <c r="A549" s="15"/>
    </row>
    <row r="550" ht="15.75" customHeight="1">
      <c r="A550" s="15"/>
    </row>
    <row r="551" ht="15.75" customHeight="1">
      <c r="A551" s="15"/>
    </row>
    <row r="552" ht="15.75" customHeight="1">
      <c r="A552" s="15"/>
    </row>
    <row r="553" ht="15.75" customHeight="1">
      <c r="A553" s="15"/>
    </row>
    <row r="554" ht="15.75" customHeight="1">
      <c r="A554" s="15"/>
    </row>
    <row r="555" ht="15.75" customHeight="1">
      <c r="A555" s="15"/>
    </row>
    <row r="556" ht="15.75" customHeight="1">
      <c r="A556" s="15"/>
    </row>
    <row r="557" ht="15.75" customHeight="1">
      <c r="A557" s="15"/>
    </row>
    <row r="558" ht="15.75" customHeight="1">
      <c r="A558" s="15"/>
    </row>
    <row r="559" ht="15.75" customHeight="1">
      <c r="A559" s="15"/>
    </row>
    <row r="560" ht="15.75" customHeight="1">
      <c r="A560" s="15"/>
    </row>
    <row r="561" ht="15.75" customHeight="1">
      <c r="A561" s="15"/>
    </row>
    <row r="562" ht="15.75" customHeight="1">
      <c r="A562" s="15"/>
    </row>
    <row r="563" ht="15.75" customHeight="1">
      <c r="A563" s="15"/>
    </row>
    <row r="564" ht="15.75" customHeight="1">
      <c r="A564" s="15"/>
    </row>
    <row r="565" ht="15.75" customHeight="1">
      <c r="A565" s="15"/>
    </row>
    <row r="566" ht="15.75" customHeight="1">
      <c r="A566" s="15"/>
    </row>
    <row r="567" ht="15.75" customHeight="1">
      <c r="A567" s="15"/>
    </row>
    <row r="568" ht="15.75" customHeight="1">
      <c r="A568" s="15"/>
    </row>
    <row r="569" ht="15.75" customHeight="1">
      <c r="A569" s="15"/>
    </row>
    <row r="570" ht="15.75" customHeight="1">
      <c r="A570" s="15"/>
    </row>
    <row r="571" ht="15.75" customHeight="1">
      <c r="A571" s="15"/>
    </row>
    <row r="572" ht="15.75" customHeight="1">
      <c r="A572" s="15"/>
    </row>
    <row r="573" ht="15.75" customHeight="1">
      <c r="A573" s="15"/>
    </row>
    <row r="574" ht="15.75" customHeight="1">
      <c r="A574" s="15"/>
    </row>
    <row r="575" ht="15.75" customHeight="1">
      <c r="A575" s="15"/>
    </row>
    <row r="576" ht="15.75" customHeight="1">
      <c r="A576" s="15"/>
    </row>
    <row r="577" ht="15.75" customHeight="1">
      <c r="A577" s="15"/>
    </row>
    <row r="578" ht="15.75" customHeight="1">
      <c r="A578" s="15"/>
    </row>
    <row r="579" ht="15.75" customHeight="1">
      <c r="A579" s="15"/>
    </row>
    <row r="580" ht="15.75" customHeight="1">
      <c r="A580" s="15"/>
    </row>
    <row r="581" ht="15.75" customHeight="1">
      <c r="A581" s="15"/>
    </row>
    <row r="582" ht="15.75" customHeight="1">
      <c r="A582" s="15"/>
    </row>
    <row r="583" ht="15.75" customHeight="1">
      <c r="A583" s="15"/>
    </row>
    <row r="584" ht="15.75" customHeight="1">
      <c r="A584" s="15"/>
    </row>
    <row r="585" ht="15.75" customHeight="1">
      <c r="A585" s="15"/>
    </row>
    <row r="586" ht="15.75" customHeight="1">
      <c r="A586" s="15"/>
    </row>
    <row r="587" ht="15.75" customHeight="1">
      <c r="A587" s="15"/>
    </row>
    <row r="588" ht="15.75" customHeight="1">
      <c r="A588" s="15"/>
    </row>
    <row r="589" ht="15.75" customHeight="1">
      <c r="A589" s="15"/>
    </row>
    <row r="590" ht="15.75" customHeight="1">
      <c r="A590" s="15"/>
    </row>
    <row r="591" ht="15.75" customHeight="1">
      <c r="A591" s="15"/>
    </row>
    <row r="592" ht="15.75" customHeight="1">
      <c r="A592" s="15"/>
    </row>
    <row r="593" ht="15.75" customHeight="1">
      <c r="A593" s="15"/>
    </row>
    <row r="594" ht="15.75" customHeight="1">
      <c r="A594" s="15"/>
    </row>
    <row r="595" ht="15.75" customHeight="1">
      <c r="A595" s="15"/>
    </row>
    <row r="596" ht="15.75" customHeight="1">
      <c r="A596" s="15"/>
    </row>
    <row r="597" ht="15.75" customHeight="1">
      <c r="A597" s="15"/>
    </row>
    <row r="598" ht="15.75" customHeight="1">
      <c r="A598" s="15"/>
    </row>
    <row r="599" ht="15.75" customHeight="1">
      <c r="A599" s="15"/>
    </row>
    <row r="600" ht="15.75" customHeight="1">
      <c r="A600" s="15"/>
    </row>
    <row r="601" ht="15.75" customHeight="1">
      <c r="A601" s="15"/>
    </row>
    <row r="602" ht="15.75" customHeight="1">
      <c r="A602" s="15"/>
    </row>
    <row r="603" ht="15.75" customHeight="1">
      <c r="A603" s="15"/>
    </row>
    <row r="604" ht="15.75" customHeight="1">
      <c r="A604" s="15"/>
    </row>
    <row r="605" ht="15.75" customHeight="1">
      <c r="A605" s="15"/>
    </row>
    <row r="606" ht="15.75" customHeight="1">
      <c r="A606" s="15"/>
    </row>
    <row r="607" ht="15.75" customHeight="1">
      <c r="A607" s="15"/>
    </row>
    <row r="608" ht="15.75" customHeight="1">
      <c r="A608" s="15"/>
    </row>
    <row r="609" ht="15.75" customHeight="1">
      <c r="A609" s="15"/>
    </row>
    <row r="610" ht="15.75" customHeight="1">
      <c r="A610" s="15"/>
    </row>
    <row r="611" ht="15.75" customHeight="1">
      <c r="A611" s="15"/>
    </row>
    <row r="612" ht="15.75" customHeight="1">
      <c r="A612" s="15"/>
    </row>
    <row r="613" ht="15.75" customHeight="1">
      <c r="A613" s="15"/>
    </row>
    <row r="614" ht="15.75" customHeight="1">
      <c r="A614" s="15"/>
    </row>
    <row r="615" ht="15.75" customHeight="1">
      <c r="A615" s="15"/>
    </row>
    <row r="616" ht="15.75" customHeight="1">
      <c r="A616" s="15"/>
    </row>
    <row r="617" ht="15.75" customHeight="1">
      <c r="A617" s="15"/>
    </row>
    <row r="618" ht="15.75" customHeight="1">
      <c r="A618" s="15"/>
    </row>
    <row r="619" ht="15.75" customHeight="1">
      <c r="A619" s="15"/>
    </row>
    <row r="620" ht="15.75" customHeight="1">
      <c r="A620" s="15"/>
    </row>
    <row r="621" ht="15.75" customHeight="1">
      <c r="A621" s="15"/>
    </row>
    <row r="622" ht="15.75" customHeight="1">
      <c r="A622" s="15"/>
    </row>
    <row r="623" ht="15.75" customHeight="1">
      <c r="A623" s="15"/>
    </row>
    <row r="624" ht="15.75" customHeight="1">
      <c r="A624" s="15"/>
    </row>
    <row r="625" ht="15.75" customHeight="1">
      <c r="A625" s="15"/>
    </row>
    <row r="626" ht="15.75" customHeight="1">
      <c r="A626" s="15"/>
    </row>
    <row r="627" ht="15.75" customHeight="1">
      <c r="A627" s="15"/>
    </row>
    <row r="628" ht="15.75" customHeight="1">
      <c r="A628" s="15"/>
    </row>
    <row r="629" ht="15.75" customHeight="1">
      <c r="A629" s="15"/>
    </row>
    <row r="630" ht="15.75" customHeight="1">
      <c r="A630" s="15"/>
    </row>
    <row r="631" ht="15.75" customHeight="1">
      <c r="A631" s="15"/>
    </row>
    <row r="632" ht="15.75" customHeight="1">
      <c r="A632" s="15"/>
    </row>
    <row r="633" ht="15.75" customHeight="1">
      <c r="A633" s="15"/>
    </row>
    <row r="634" ht="15.75" customHeight="1">
      <c r="A634" s="15"/>
    </row>
    <row r="635" ht="15.75" customHeight="1">
      <c r="A635" s="15"/>
    </row>
    <row r="636" ht="15.75" customHeight="1">
      <c r="A636" s="15"/>
    </row>
    <row r="637" ht="15.75" customHeight="1">
      <c r="A637" s="15"/>
    </row>
    <row r="638" ht="15.75" customHeight="1">
      <c r="A638" s="15"/>
    </row>
    <row r="639" ht="15.75" customHeight="1">
      <c r="A639" s="15"/>
    </row>
    <row r="640" ht="15.75" customHeight="1">
      <c r="A640" s="15"/>
    </row>
    <row r="641" ht="15.75" customHeight="1">
      <c r="A641" s="15"/>
    </row>
    <row r="642" ht="15.75" customHeight="1">
      <c r="A642" s="15"/>
    </row>
    <row r="643" ht="15.75" customHeight="1">
      <c r="A643" s="15"/>
    </row>
    <row r="644" ht="15.75" customHeight="1">
      <c r="A644" s="15"/>
    </row>
    <row r="645" ht="15.75" customHeight="1">
      <c r="A645" s="15"/>
    </row>
    <row r="646" ht="15.75" customHeight="1">
      <c r="A646" s="15"/>
    </row>
    <row r="647" ht="15.75" customHeight="1">
      <c r="A647" s="15"/>
    </row>
    <row r="648" ht="15.75" customHeight="1">
      <c r="A648" s="15"/>
    </row>
    <row r="649" ht="15.75" customHeight="1">
      <c r="A649" s="15"/>
    </row>
    <row r="650" ht="15.75" customHeight="1">
      <c r="A650" s="15"/>
    </row>
    <row r="651" ht="15.75" customHeight="1">
      <c r="A651" s="15"/>
    </row>
    <row r="652" ht="15.75" customHeight="1">
      <c r="A652" s="15"/>
    </row>
    <row r="653" ht="15.75" customHeight="1">
      <c r="A653" s="15"/>
    </row>
    <row r="654" ht="15.75" customHeight="1">
      <c r="A654" s="15"/>
    </row>
    <row r="655" ht="15.75" customHeight="1">
      <c r="A655" s="15"/>
    </row>
    <row r="656" ht="15.75" customHeight="1">
      <c r="A656" s="15"/>
    </row>
    <row r="657" ht="15.75" customHeight="1">
      <c r="A657" s="15"/>
    </row>
    <row r="658" ht="15.75" customHeight="1">
      <c r="A658" s="15"/>
    </row>
    <row r="659" ht="15.75" customHeight="1">
      <c r="A659" s="15"/>
    </row>
    <row r="660" ht="15.75" customHeight="1">
      <c r="A660" s="15"/>
    </row>
    <row r="661" ht="15.75" customHeight="1">
      <c r="A661" s="15"/>
    </row>
    <row r="662" ht="15.75" customHeight="1">
      <c r="A662" s="15"/>
    </row>
    <row r="663" ht="15.75" customHeight="1">
      <c r="A663" s="15"/>
    </row>
    <row r="664" ht="15.75" customHeight="1">
      <c r="A664" s="15"/>
    </row>
    <row r="665" ht="15.75" customHeight="1">
      <c r="A665" s="15"/>
    </row>
    <row r="666" ht="15.75" customHeight="1">
      <c r="A666" s="15"/>
    </row>
    <row r="667" ht="15.75" customHeight="1">
      <c r="A667" s="15"/>
    </row>
    <row r="668" ht="15.75" customHeight="1">
      <c r="A668" s="15"/>
    </row>
    <row r="669" ht="15.75" customHeight="1">
      <c r="A669" s="15"/>
    </row>
    <row r="670" ht="15.75" customHeight="1">
      <c r="A670" s="15"/>
    </row>
    <row r="671" ht="15.75" customHeight="1">
      <c r="A671" s="15"/>
    </row>
    <row r="672" ht="15.75" customHeight="1">
      <c r="A672" s="15"/>
    </row>
    <row r="673" ht="15.75" customHeight="1">
      <c r="A673" s="15"/>
    </row>
    <row r="674" ht="15.75" customHeight="1">
      <c r="A674" s="15"/>
    </row>
    <row r="675" ht="15.75" customHeight="1">
      <c r="A675" s="15"/>
    </row>
    <row r="676" ht="15.75" customHeight="1">
      <c r="A676" s="15"/>
    </row>
    <row r="677" ht="15.75" customHeight="1">
      <c r="A677" s="15"/>
    </row>
    <row r="678" ht="15.75" customHeight="1">
      <c r="A678" s="15"/>
    </row>
    <row r="679" ht="15.75" customHeight="1">
      <c r="A679" s="15"/>
    </row>
    <row r="680" ht="15.75" customHeight="1">
      <c r="A680" s="15"/>
    </row>
    <row r="681" ht="15.75" customHeight="1">
      <c r="A681" s="15"/>
    </row>
    <row r="682" ht="15.75" customHeight="1">
      <c r="A682" s="15"/>
    </row>
    <row r="683" ht="15.75" customHeight="1">
      <c r="A683" s="15"/>
    </row>
    <row r="684" ht="15.75" customHeight="1">
      <c r="A684" s="15"/>
    </row>
    <row r="685" ht="15.75" customHeight="1">
      <c r="A685" s="15"/>
    </row>
    <row r="686" ht="15.75" customHeight="1">
      <c r="A686" s="15"/>
    </row>
    <row r="687" ht="15.75" customHeight="1">
      <c r="A687" s="15"/>
    </row>
    <row r="688" ht="15.75" customHeight="1">
      <c r="A688" s="15"/>
    </row>
    <row r="689" ht="15.75" customHeight="1">
      <c r="A689" s="15"/>
    </row>
    <row r="690" ht="15.75" customHeight="1">
      <c r="A690" s="15"/>
    </row>
    <row r="691" ht="15.75" customHeight="1">
      <c r="A691" s="15"/>
    </row>
    <row r="692" ht="15.75" customHeight="1">
      <c r="A692" s="15"/>
    </row>
    <row r="693" ht="15.75" customHeight="1">
      <c r="A693" s="15"/>
    </row>
    <row r="694" ht="15.75" customHeight="1">
      <c r="A694" s="15"/>
    </row>
    <row r="695" ht="15.75" customHeight="1">
      <c r="A695" s="15"/>
    </row>
    <row r="696" ht="15.75" customHeight="1">
      <c r="A696" s="15"/>
    </row>
    <row r="697" ht="15.75" customHeight="1">
      <c r="A697" s="15"/>
    </row>
    <row r="698" ht="15.75" customHeight="1">
      <c r="A698" s="15"/>
    </row>
    <row r="699" ht="15.75" customHeight="1">
      <c r="A699" s="15"/>
    </row>
    <row r="700" ht="15.75" customHeight="1">
      <c r="A700" s="15"/>
    </row>
    <row r="701" ht="15.75" customHeight="1">
      <c r="A701" s="15"/>
    </row>
    <row r="702" ht="15.75" customHeight="1">
      <c r="A702" s="15"/>
    </row>
    <row r="703" ht="15.75" customHeight="1">
      <c r="A703" s="15"/>
    </row>
    <row r="704" ht="15.75" customHeight="1">
      <c r="A704" s="15"/>
    </row>
    <row r="705" ht="15.75" customHeight="1">
      <c r="A705" s="15"/>
    </row>
    <row r="706" ht="15.75" customHeight="1">
      <c r="A706" s="15"/>
    </row>
    <row r="707" ht="15.75" customHeight="1">
      <c r="A707" s="15"/>
    </row>
    <row r="708" ht="15.75" customHeight="1">
      <c r="A708" s="15"/>
    </row>
    <row r="709" ht="15.75" customHeight="1">
      <c r="A709" s="15"/>
    </row>
    <row r="710" ht="15.75" customHeight="1">
      <c r="A710" s="15"/>
    </row>
    <row r="711" ht="15.75" customHeight="1">
      <c r="A711" s="15"/>
    </row>
    <row r="712" ht="15.75" customHeight="1">
      <c r="A712" s="15"/>
    </row>
    <row r="713" ht="15.75" customHeight="1">
      <c r="A713" s="15"/>
    </row>
    <row r="714" ht="15.75" customHeight="1">
      <c r="A714" s="15"/>
    </row>
    <row r="715" ht="15.75" customHeight="1">
      <c r="A715" s="15"/>
    </row>
    <row r="716" ht="15.75" customHeight="1">
      <c r="A716" s="15"/>
    </row>
    <row r="717" ht="15.75" customHeight="1">
      <c r="A717" s="15"/>
    </row>
    <row r="718" ht="15.75" customHeight="1">
      <c r="A718" s="15"/>
    </row>
    <row r="719" ht="15.75" customHeight="1">
      <c r="A719" s="15"/>
    </row>
    <row r="720" ht="15.75" customHeight="1">
      <c r="A720" s="15"/>
    </row>
    <row r="721" ht="15.75" customHeight="1">
      <c r="A721" s="15"/>
    </row>
    <row r="722" ht="15.75" customHeight="1">
      <c r="A722" s="15"/>
    </row>
    <row r="723" ht="15.75" customHeight="1">
      <c r="A723" s="15"/>
    </row>
    <row r="724" ht="15.75" customHeight="1">
      <c r="A724" s="15"/>
    </row>
    <row r="725" ht="15.75" customHeight="1">
      <c r="A725" s="15"/>
    </row>
    <row r="726" ht="15.75" customHeight="1">
      <c r="A726" s="15"/>
    </row>
    <row r="727" ht="15.75" customHeight="1">
      <c r="A727" s="15"/>
    </row>
    <row r="728" ht="15.75" customHeight="1">
      <c r="A728" s="15"/>
    </row>
    <row r="729" ht="15.75" customHeight="1">
      <c r="A729" s="15"/>
    </row>
    <row r="730" ht="15.75" customHeight="1">
      <c r="A730" s="15"/>
    </row>
    <row r="731" ht="15.75" customHeight="1">
      <c r="A731" s="15"/>
    </row>
    <row r="732" ht="15.75" customHeight="1">
      <c r="A732" s="15"/>
    </row>
    <row r="733" ht="15.75" customHeight="1">
      <c r="A733" s="15"/>
    </row>
    <row r="734" ht="15.75" customHeight="1">
      <c r="A734" s="15"/>
    </row>
    <row r="735" ht="15.75" customHeight="1">
      <c r="A735" s="15"/>
    </row>
    <row r="736" ht="15.75" customHeight="1">
      <c r="A736" s="15"/>
    </row>
    <row r="737" ht="15.75" customHeight="1">
      <c r="A737" s="15"/>
    </row>
    <row r="738" ht="15.75" customHeight="1">
      <c r="A738" s="15"/>
    </row>
    <row r="739" ht="15.75" customHeight="1">
      <c r="A739" s="15"/>
    </row>
    <row r="740" ht="15.75" customHeight="1">
      <c r="A740" s="15"/>
    </row>
    <row r="741" ht="15.75" customHeight="1">
      <c r="A741" s="15"/>
    </row>
    <row r="742" ht="15.75" customHeight="1">
      <c r="A742" s="15"/>
    </row>
    <row r="743" ht="15.75" customHeight="1">
      <c r="A743" s="15"/>
    </row>
    <row r="744" ht="15.75" customHeight="1">
      <c r="A744" s="15"/>
    </row>
    <row r="745" ht="15.75" customHeight="1">
      <c r="A745" s="15"/>
    </row>
    <row r="746" ht="15.75" customHeight="1">
      <c r="A746" s="15"/>
    </row>
    <row r="747" ht="15.75" customHeight="1">
      <c r="A747" s="15"/>
    </row>
    <row r="748" ht="15.75" customHeight="1">
      <c r="A748" s="15"/>
    </row>
    <row r="749" ht="15.75" customHeight="1">
      <c r="A749" s="15"/>
    </row>
    <row r="750" ht="15.75" customHeight="1">
      <c r="A750" s="15"/>
    </row>
    <row r="751" ht="15.75" customHeight="1">
      <c r="A751" s="15"/>
    </row>
    <row r="752" ht="15.75" customHeight="1">
      <c r="A752" s="15"/>
    </row>
    <row r="753" ht="15.75" customHeight="1">
      <c r="A753" s="15"/>
    </row>
    <row r="754" ht="15.75" customHeight="1">
      <c r="A754" s="15"/>
    </row>
    <row r="755" ht="15.75" customHeight="1">
      <c r="A755" s="15"/>
    </row>
    <row r="756" ht="15.75" customHeight="1">
      <c r="A756" s="15"/>
    </row>
    <row r="757" ht="15.75" customHeight="1">
      <c r="A757" s="15"/>
    </row>
    <row r="758" ht="15.75" customHeight="1">
      <c r="A758" s="15"/>
    </row>
    <row r="759" ht="15.75" customHeight="1">
      <c r="A759" s="15"/>
    </row>
    <row r="760" ht="15.75" customHeight="1">
      <c r="A760" s="15"/>
    </row>
    <row r="761" ht="15.75" customHeight="1">
      <c r="A761" s="15"/>
    </row>
    <row r="762" ht="15.75" customHeight="1">
      <c r="A762" s="15"/>
    </row>
    <row r="763" ht="15.75" customHeight="1">
      <c r="A763" s="15"/>
    </row>
    <row r="764" ht="15.75" customHeight="1">
      <c r="A764" s="15"/>
    </row>
    <row r="765" ht="15.75" customHeight="1">
      <c r="A765" s="15"/>
    </row>
    <row r="766" ht="15.75" customHeight="1">
      <c r="A766" s="15"/>
    </row>
    <row r="767" ht="15.75" customHeight="1">
      <c r="A767" s="15"/>
    </row>
    <row r="768" ht="15.75" customHeight="1">
      <c r="A768" s="15"/>
    </row>
    <row r="769" ht="15.75" customHeight="1">
      <c r="A769" s="15"/>
    </row>
    <row r="770" ht="15.75" customHeight="1">
      <c r="A770" s="15"/>
    </row>
    <row r="771" ht="15.75" customHeight="1">
      <c r="A771" s="15"/>
    </row>
    <row r="772" ht="15.75" customHeight="1">
      <c r="A772" s="15"/>
    </row>
    <row r="773" ht="15.75" customHeight="1">
      <c r="A773" s="15"/>
    </row>
    <row r="774" ht="15.75" customHeight="1">
      <c r="A774" s="15"/>
    </row>
    <row r="775" ht="15.75" customHeight="1">
      <c r="A775" s="15"/>
    </row>
    <row r="776" ht="15.75" customHeight="1">
      <c r="A776" s="15"/>
    </row>
    <row r="777" ht="15.75" customHeight="1">
      <c r="A777" s="15"/>
    </row>
    <row r="778" ht="15.75" customHeight="1">
      <c r="A778" s="15"/>
    </row>
    <row r="779" ht="15.75" customHeight="1">
      <c r="A779" s="15"/>
    </row>
    <row r="780" ht="15.75" customHeight="1">
      <c r="A780" s="15"/>
    </row>
    <row r="781" ht="15.75" customHeight="1">
      <c r="A781" s="15"/>
    </row>
    <row r="782" ht="15.75" customHeight="1">
      <c r="A782" s="15"/>
    </row>
    <row r="783" ht="15.75" customHeight="1">
      <c r="A783" s="15"/>
    </row>
    <row r="784" ht="15.75" customHeight="1">
      <c r="A784" s="15"/>
    </row>
    <row r="785" ht="15.75" customHeight="1">
      <c r="A785" s="15"/>
    </row>
    <row r="786" ht="15.75" customHeight="1">
      <c r="A786" s="15"/>
    </row>
    <row r="787" ht="15.75" customHeight="1">
      <c r="A787" s="15"/>
    </row>
    <row r="788" ht="15.75" customHeight="1">
      <c r="A788" s="15"/>
    </row>
    <row r="789" ht="15.75" customHeight="1">
      <c r="A789" s="15"/>
    </row>
    <row r="790" ht="15.75" customHeight="1">
      <c r="A790" s="15"/>
    </row>
    <row r="791" ht="15.75" customHeight="1">
      <c r="A791" s="15"/>
    </row>
    <row r="792" ht="15.75" customHeight="1">
      <c r="A792" s="15"/>
    </row>
    <row r="793" ht="15.75" customHeight="1">
      <c r="A793" s="15"/>
    </row>
    <row r="794" ht="15.75" customHeight="1">
      <c r="A794" s="15"/>
    </row>
    <row r="795" ht="15.75" customHeight="1">
      <c r="A795" s="15"/>
    </row>
    <row r="796" ht="15.75" customHeight="1">
      <c r="A796" s="15"/>
    </row>
    <row r="797" ht="15.75" customHeight="1">
      <c r="A797" s="15"/>
    </row>
    <row r="798" ht="15.75" customHeight="1">
      <c r="A798" s="15"/>
    </row>
    <row r="799" ht="15.75" customHeight="1">
      <c r="A799" s="15"/>
    </row>
    <row r="800" ht="15.75" customHeight="1">
      <c r="A800" s="15"/>
    </row>
    <row r="801" ht="15.75" customHeight="1">
      <c r="A801" s="15"/>
    </row>
    <row r="802" ht="15.75" customHeight="1">
      <c r="A802" s="15"/>
    </row>
    <row r="803" ht="15.75" customHeight="1">
      <c r="A803" s="15"/>
    </row>
    <row r="804" ht="15.75" customHeight="1">
      <c r="A804" s="15"/>
    </row>
    <row r="805" ht="15.75" customHeight="1">
      <c r="A805" s="15"/>
    </row>
    <row r="806" ht="15.75" customHeight="1">
      <c r="A806" s="15"/>
    </row>
    <row r="807" ht="15.75" customHeight="1">
      <c r="A807" s="15"/>
    </row>
    <row r="808" ht="15.75" customHeight="1">
      <c r="A808" s="15"/>
    </row>
    <row r="809" ht="15.75" customHeight="1">
      <c r="A809" s="15"/>
    </row>
    <row r="810" ht="15.75" customHeight="1">
      <c r="A810" s="15"/>
    </row>
    <row r="811" ht="15.75" customHeight="1">
      <c r="A811" s="15"/>
    </row>
    <row r="812" ht="15.75" customHeight="1">
      <c r="A812" s="15"/>
    </row>
    <row r="813" ht="15.75" customHeight="1">
      <c r="A813" s="15"/>
    </row>
    <row r="814" ht="15.75" customHeight="1">
      <c r="A814" s="15"/>
    </row>
    <row r="815" ht="15.75" customHeight="1">
      <c r="A815" s="15"/>
    </row>
    <row r="816" ht="15.75" customHeight="1">
      <c r="A816" s="15"/>
    </row>
    <row r="817" ht="15.75" customHeight="1">
      <c r="A817" s="15"/>
    </row>
    <row r="818" ht="15.75" customHeight="1">
      <c r="A818" s="15"/>
    </row>
    <row r="819" ht="15.75" customHeight="1">
      <c r="A819" s="15"/>
    </row>
    <row r="820" ht="15.75" customHeight="1">
      <c r="A820" s="15"/>
    </row>
    <row r="821" ht="15.75" customHeight="1">
      <c r="A821" s="15"/>
    </row>
    <row r="822" ht="15.75" customHeight="1">
      <c r="A822" s="15"/>
    </row>
    <row r="823" ht="15.75" customHeight="1">
      <c r="A823" s="15"/>
    </row>
    <row r="824" ht="15.75" customHeight="1">
      <c r="A824" s="15"/>
    </row>
    <row r="825" ht="15.75" customHeight="1">
      <c r="A825" s="15"/>
    </row>
    <row r="826" ht="15.75" customHeight="1">
      <c r="A826" s="15"/>
    </row>
    <row r="827" ht="15.75" customHeight="1">
      <c r="A827" s="15"/>
    </row>
    <row r="828" ht="15.75" customHeight="1">
      <c r="A828" s="15"/>
    </row>
    <row r="829" ht="15.75" customHeight="1">
      <c r="A829" s="15"/>
    </row>
    <row r="830" ht="15.75" customHeight="1">
      <c r="A830" s="15"/>
    </row>
    <row r="831" ht="15.75" customHeight="1">
      <c r="A831" s="15"/>
    </row>
    <row r="832" ht="15.75" customHeight="1">
      <c r="A832" s="15"/>
    </row>
    <row r="833" ht="15.75" customHeight="1">
      <c r="A833" s="15"/>
    </row>
    <row r="834" ht="15.75" customHeight="1">
      <c r="A834" s="15"/>
    </row>
    <row r="835" ht="15.75" customHeight="1">
      <c r="A835" s="15"/>
    </row>
    <row r="836" ht="15.75" customHeight="1">
      <c r="A836" s="15"/>
    </row>
    <row r="837" ht="15.75" customHeight="1">
      <c r="A837" s="15"/>
    </row>
    <row r="838" ht="15.75" customHeight="1">
      <c r="A838" s="15"/>
    </row>
    <row r="839" ht="15.75" customHeight="1">
      <c r="A839" s="15"/>
    </row>
    <row r="840" ht="15.75" customHeight="1">
      <c r="A840" s="15"/>
    </row>
    <row r="841" ht="15.75" customHeight="1">
      <c r="A841" s="15"/>
    </row>
    <row r="842" ht="15.75" customHeight="1">
      <c r="A842" s="15"/>
    </row>
    <row r="843" ht="15.75" customHeight="1">
      <c r="A843" s="15"/>
    </row>
    <row r="844" ht="15.75" customHeight="1">
      <c r="A844" s="15"/>
    </row>
    <row r="845" ht="15.75" customHeight="1">
      <c r="A845" s="15"/>
    </row>
    <row r="846" ht="15.75" customHeight="1">
      <c r="A846" s="15"/>
    </row>
    <row r="847" ht="15.75" customHeight="1">
      <c r="A847" s="15"/>
    </row>
    <row r="848" ht="15.75" customHeight="1">
      <c r="A848" s="15"/>
    </row>
    <row r="849" ht="15.75" customHeight="1">
      <c r="A849" s="15"/>
    </row>
    <row r="850" ht="15.75" customHeight="1">
      <c r="A850" s="15"/>
    </row>
    <row r="851" ht="15.75" customHeight="1">
      <c r="A851" s="15"/>
    </row>
    <row r="852" ht="15.75" customHeight="1">
      <c r="A852" s="15"/>
    </row>
    <row r="853" ht="15.75" customHeight="1">
      <c r="A853" s="15"/>
    </row>
    <row r="854" ht="15.75" customHeight="1">
      <c r="A854" s="15"/>
    </row>
    <row r="855" ht="15.75" customHeight="1">
      <c r="A855" s="15"/>
    </row>
    <row r="856" ht="15.75" customHeight="1">
      <c r="A856" s="15"/>
    </row>
    <row r="857" ht="15.75" customHeight="1">
      <c r="A857" s="15"/>
    </row>
    <row r="858" ht="15.75" customHeight="1">
      <c r="A858" s="15"/>
    </row>
    <row r="859" ht="15.75" customHeight="1">
      <c r="A859" s="15"/>
    </row>
    <row r="860" ht="15.75" customHeight="1">
      <c r="A860" s="15"/>
    </row>
    <row r="861" ht="15.75" customHeight="1">
      <c r="A861" s="15"/>
    </row>
    <row r="862" ht="15.75" customHeight="1">
      <c r="A862" s="15"/>
    </row>
    <row r="863" ht="15.75" customHeight="1">
      <c r="A863" s="15"/>
    </row>
    <row r="864" ht="15.75" customHeight="1">
      <c r="A864" s="15"/>
    </row>
    <row r="865" ht="15.75" customHeight="1">
      <c r="A865" s="15"/>
    </row>
    <row r="866" ht="15.75" customHeight="1">
      <c r="A866" s="15"/>
    </row>
    <row r="867" ht="15.75" customHeight="1">
      <c r="A867" s="15"/>
    </row>
    <row r="868" ht="15.75" customHeight="1">
      <c r="A868" s="15"/>
    </row>
    <row r="869" ht="15.75" customHeight="1">
      <c r="A869" s="15"/>
    </row>
    <row r="870" ht="15.75" customHeight="1">
      <c r="A870" s="15"/>
    </row>
    <row r="871" ht="15.75" customHeight="1">
      <c r="A871" s="15"/>
    </row>
    <row r="872" ht="15.75" customHeight="1">
      <c r="A872" s="15"/>
    </row>
    <row r="873" ht="15.75" customHeight="1">
      <c r="A873" s="15"/>
    </row>
    <row r="874" ht="15.75" customHeight="1">
      <c r="A874" s="15"/>
    </row>
    <row r="875" ht="15.75" customHeight="1">
      <c r="A875" s="15"/>
    </row>
    <row r="876" ht="15.75" customHeight="1">
      <c r="A876" s="15"/>
    </row>
    <row r="877" ht="15.75" customHeight="1">
      <c r="A877" s="15"/>
    </row>
    <row r="878" ht="15.75" customHeight="1">
      <c r="A878" s="15"/>
    </row>
    <row r="879" ht="15.75" customHeight="1">
      <c r="A879" s="15"/>
    </row>
    <row r="880" ht="15.75" customHeight="1">
      <c r="A880" s="15"/>
    </row>
    <row r="881" ht="15.75" customHeight="1">
      <c r="A881" s="15"/>
    </row>
    <row r="882" ht="15.75" customHeight="1">
      <c r="A882" s="15"/>
    </row>
    <row r="883" ht="15.75" customHeight="1">
      <c r="A883" s="15"/>
    </row>
    <row r="884" ht="15.75" customHeight="1">
      <c r="A884" s="15"/>
    </row>
    <row r="885" ht="15.75" customHeight="1">
      <c r="A885" s="15"/>
    </row>
    <row r="886" ht="15.75" customHeight="1">
      <c r="A886" s="15"/>
    </row>
    <row r="887" ht="15.75" customHeight="1">
      <c r="A887" s="15"/>
    </row>
    <row r="888" ht="15.75" customHeight="1">
      <c r="A888" s="15"/>
    </row>
    <row r="889" ht="15.75" customHeight="1">
      <c r="A889" s="15"/>
    </row>
    <row r="890" ht="15.75" customHeight="1">
      <c r="A890" s="15"/>
    </row>
    <row r="891" ht="15.75" customHeight="1">
      <c r="A891" s="15"/>
    </row>
    <row r="892" ht="15.75" customHeight="1">
      <c r="A892" s="15"/>
    </row>
    <row r="893" ht="15.75" customHeight="1">
      <c r="A893" s="15"/>
    </row>
    <row r="894" ht="15.75" customHeight="1">
      <c r="A894" s="15"/>
    </row>
    <row r="895" ht="15.75" customHeight="1">
      <c r="A895" s="15"/>
    </row>
    <row r="896" ht="15.75" customHeight="1">
      <c r="A896" s="15"/>
    </row>
    <row r="897" ht="15.75" customHeight="1">
      <c r="A897" s="15"/>
    </row>
    <row r="898" ht="15.75" customHeight="1">
      <c r="A898" s="15"/>
    </row>
    <row r="899" ht="15.75" customHeight="1">
      <c r="A899" s="15"/>
    </row>
    <row r="900" ht="15.75" customHeight="1">
      <c r="A900" s="15"/>
    </row>
    <row r="901" ht="15.75" customHeight="1">
      <c r="A901" s="15"/>
    </row>
    <row r="902" ht="15.75" customHeight="1">
      <c r="A902" s="15"/>
    </row>
    <row r="903" ht="15.75" customHeight="1">
      <c r="A903" s="15"/>
    </row>
    <row r="904" ht="15.75" customHeight="1">
      <c r="A904" s="15"/>
    </row>
    <row r="905" ht="15.75" customHeight="1">
      <c r="A905" s="15"/>
    </row>
    <row r="906" ht="15.75" customHeight="1">
      <c r="A906" s="15"/>
    </row>
    <row r="907" ht="15.75" customHeight="1">
      <c r="A907" s="15"/>
    </row>
    <row r="908" ht="15.75" customHeight="1">
      <c r="A908" s="15"/>
    </row>
    <row r="909" ht="15.75" customHeight="1">
      <c r="A909" s="15"/>
    </row>
    <row r="910" ht="15.75" customHeight="1">
      <c r="A910" s="15"/>
    </row>
    <row r="911" ht="15.75" customHeight="1">
      <c r="A911" s="15"/>
    </row>
    <row r="912" ht="15.75" customHeight="1">
      <c r="A912" s="15"/>
    </row>
    <row r="913" ht="15.75" customHeight="1">
      <c r="A913" s="15"/>
    </row>
    <row r="914" ht="15.75" customHeight="1">
      <c r="A914" s="15"/>
    </row>
    <row r="915" ht="15.75" customHeight="1">
      <c r="A915" s="15"/>
    </row>
    <row r="916" ht="15.75" customHeight="1">
      <c r="A916" s="15"/>
    </row>
    <row r="917" ht="15.75" customHeight="1">
      <c r="A917" s="15"/>
    </row>
    <row r="918" ht="15.75" customHeight="1">
      <c r="A918" s="15"/>
    </row>
    <row r="919" ht="15.75" customHeight="1">
      <c r="A919" s="15"/>
    </row>
    <row r="920" ht="15.75" customHeight="1">
      <c r="A920" s="15"/>
    </row>
    <row r="921" ht="15.75" customHeight="1">
      <c r="A921" s="15"/>
    </row>
    <row r="922" ht="15.75" customHeight="1">
      <c r="A922" s="15"/>
    </row>
    <row r="923" ht="15.75" customHeight="1">
      <c r="A923" s="15"/>
    </row>
    <row r="924" ht="15.75" customHeight="1">
      <c r="A924" s="15"/>
    </row>
    <row r="925" ht="15.75" customHeight="1">
      <c r="A925" s="15"/>
    </row>
    <row r="926" ht="15.75" customHeight="1">
      <c r="A926" s="15"/>
    </row>
    <row r="927" ht="15.75" customHeight="1">
      <c r="A927" s="15"/>
    </row>
    <row r="928" ht="15.75" customHeight="1">
      <c r="A928" s="15"/>
    </row>
    <row r="929" ht="15.75" customHeight="1">
      <c r="A929" s="15"/>
    </row>
    <row r="930" ht="15.75" customHeight="1">
      <c r="A930" s="15"/>
    </row>
    <row r="931" ht="15.75" customHeight="1">
      <c r="A931" s="15"/>
    </row>
    <row r="932" ht="15.75" customHeight="1">
      <c r="A932" s="15"/>
    </row>
    <row r="933" ht="15.75" customHeight="1">
      <c r="A933" s="15"/>
    </row>
    <row r="934" ht="15.75" customHeight="1">
      <c r="A934" s="15"/>
    </row>
    <row r="935" ht="15.75" customHeight="1">
      <c r="A935" s="15"/>
    </row>
    <row r="936" ht="15.75" customHeight="1">
      <c r="A936" s="15"/>
    </row>
    <row r="937" ht="15.75" customHeight="1">
      <c r="A937" s="15"/>
    </row>
    <row r="938" ht="15.75" customHeight="1">
      <c r="A938" s="15"/>
    </row>
    <row r="939" ht="15.75" customHeight="1">
      <c r="A939" s="15"/>
    </row>
    <row r="940" ht="15.75" customHeight="1">
      <c r="A940" s="15"/>
    </row>
    <row r="941" ht="15.75" customHeight="1">
      <c r="A941" s="15"/>
    </row>
    <row r="942" ht="15.75" customHeight="1">
      <c r="A942" s="15"/>
    </row>
    <row r="943" ht="15.75" customHeight="1">
      <c r="A943" s="15"/>
    </row>
    <row r="944" ht="15.75" customHeight="1">
      <c r="A944" s="15"/>
    </row>
    <row r="945" ht="15.75" customHeight="1">
      <c r="A945" s="15"/>
    </row>
    <row r="946" ht="15.75" customHeight="1">
      <c r="A946" s="15"/>
    </row>
    <row r="947" ht="15.75" customHeight="1">
      <c r="A947" s="15"/>
    </row>
    <row r="948" ht="15.75" customHeight="1">
      <c r="A948" s="15"/>
    </row>
    <row r="949" ht="15.75" customHeight="1">
      <c r="A949" s="15"/>
    </row>
    <row r="950" ht="15.75" customHeight="1">
      <c r="A950" s="15"/>
    </row>
    <row r="951" ht="15.75" customHeight="1">
      <c r="A951" s="15"/>
    </row>
    <row r="952" ht="15.75" customHeight="1">
      <c r="A952" s="15"/>
    </row>
    <row r="953" ht="15.75" customHeight="1">
      <c r="A953" s="15"/>
    </row>
    <row r="954" ht="15.75" customHeight="1">
      <c r="A954" s="15"/>
    </row>
    <row r="955" ht="15.75" customHeight="1">
      <c r="A955" s="15"/>
    </row>
    <row r="956" ht="15.75" customHeight="1">
      <c r="A956" s="15"/>
    </row>
    <row r="957" ht="15.75" customHeight="1">
      <c r="A957" s="15"/>
    </row>
    <row r="958" ht="15.75" customHeight="1">
      <c r="A958" s="15"/>
    </row>
    <row r="959" ht="15.75" customHeight="1">
      <c r="A959" s="15"/>
    </row>
    <row r="960" ht="15.75" customHeight="1">
      <c r="A960" s="15"/>
    </row>
    <row r="961" ht="15.75" customHeight="1">
      <c r="A961" s="15"/>
    </row>
    <row r="962" ht="15.75" customHeight="1">
      <c r="A962" s="15"/>
    </row>
    <row r="963" ht="15.75" customHeight="1">
      <c r="A963" s="15"/>
    </row>
    <row r="964" ht="15.75" customHeight="1">
      <c r="A964" s="15"/>
    </row>
    <row r="965" ht="15.75" customHeight="1">
      <c r="A965" s="15"/>
    </row>
    <row r="966" ht="15.75" customHeight="1">
      <c r="A966" s="15"/>
    </row>
    <row r="967" ht="15.75" customHeight="1">
      <c r="A967" s="15"/>
    </row>
    <row r="968" ht="15.75" customHeight="1">
      <c r="A968" s="15"/>
    </row>
    <row r="969" ht="15.75" customHeight="1">
      <c r="A969" s="15"/>
    </row>
    <row r="970" ht="15.75" customHeight="1">
      <c r="A970" s="15"/>
    </row>
    <row r="971" ht="15.75" customHeight="1">
      <c r="A971" s="15"/>
    </row>
    <row r="972" ht="15.75" customHeight="1">
      <c r="A972" s="15"/>
    </row>
    <row r="973" ht="15.75" customHeight="1">
      <c r="A973" s="15"/>
    </row>
    <row r="974" ht="15.75" customHeight="1">
      <c r="A974" s="15"/>
    </row>
    <row r="975" ht="15.75" customHeight="1">
      <c r="A975" s="15"/>
    </row>
    <row r="976" ht="15.75" customHeight="1">
      <c r="A976" s="15"/>
    </row>
    <row r="977" ht="15.75" customHeight="1">
      <c r="A977" s="15"/>
    </row>
    <row r="978" ht="15.75" customHeight="1">
      <c r="A978" s="15"/>
    </row>
    <row r="979" ht="15.75" customHeight="1">
      <c r="A979" s="15"/>
    </row>
    <row r="980" ht="15.75" customHeight="1">
      <c r="A980" s="15"/>
    </row>
    <row r="981" ht="15.75" customHeight="1">
      <c r="A981" s="15"/>
    </row>
    <row r="982" ht="15.75" customHeight="1">
      <c r="A982" s="15"/>
    </row>
    <row r="983" ht="15.75" customHeight="1">
      <c r="A983" s="15"/>
    </row>
    <row r="984" ht="15.75" customHeight="1">
      <c r="A984" s="15"/>
    </row>
    <row r="985" ht="15.75" customHeight="1">
      <c r="A985" s="15"/>
    </row>
    <row r="986" ht="15.75" customHeight="1">
      <c r="A986" s="15"/>
    </row>
    <row r="987" ht="15.75" customHeight="1">
      <c r="A987" s="15"/>
    </row>
    <row r="988" ht="15.75" customHeight="1">
      <c r="A988" s="15"/>
    </row>
    <row r="989" ht="15.75" customHeight="1">
      <c r="A989" s="15"/>
    </row>
    <row r="990" ht="15.75" customHeight="1">
      <c r="A990" s="15"/>
    </row>
    <row r="991" ht="15.75" customHeight="1">
      <c r="A991" s="15"/>
    </row>
    <row r="992" ht="15.75" customHeight="1">
      <c r="A992" s="15"/>
    </row>
    <row r="993" ht="15.75" customHeight="1">
      <c r="A993" s="15"/>
    </row>
    <row r="994" ht="15.75" customHeight="1">
      <c r="A994" s="15"/>
    </row>
    <row r="995" ht="15.75" customHeight="1">
      <c r="A995" s="15"/>
    </row>
    <row r="996" ht="15.75" customHeight="1">
      <c r="A996" s="15"/>
    </row>
    <row r="997" ht="15.75" customHeight="1">
      <c r="A997" s="15"/>
    </row>
    <row r="998" ht="15.75" customHeight="1">
      <c r="A998" s="15"/>
    </row>
    <row r="999" ht="15.75" customHeight="1">
      <c r="A999" s="15"/>
    </row>
    <row r="1000" ht="15.75" customHeight="1">
      <c r="A1000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3" width="9.25"/>
  </cols>
  <sheetData>
    <row r="1">
      <c r="A1" s="16" t="s">
        <v>186</v>
      </c>
      <c r="B1" s="17">
        <v>2024.0</v>
      </c>
      <c r="C1" s="18"/>
      <c r="D1" s="19"/>
    </row>
    <row r="2">
      <c r="A2" s="20"/>
      <c r="B2" s="21" t="s">
        <v>187</v>
      </c>
      <c r="C2" s="21" t="s">
        <v>188</v>
      </c>
      <c r="D2" s="19"/>
    </row>
    <row r="3" ht="9.75" customHeight="1">
      <c r="A3" s="21" t="s">
        <v>5</v>
      </c>
      <c r="B3" s="22">
        <v>5258206.0</v>
      </c>
      <c r="C3" s="22">
        <v>5245881.0</v>
      </c>
      <c r="D3" s="19"/>
    </row>
    <row r="4" ht="9.75" customHeight="1">
      <c r="A4" s="21" t="s">
        <v>26</v>
      </c>
      <c r="B4" s="22">
        <v>690384.0</v>
      </c>
      <c r="C4" s="22">
        <v>699594.0</v>
      </c>
      <c r="D4" s="19"/>
    </row>
    <row r="5" ht="9.75" customHeight="1">
      <c r="A5" s="21" t="s">
        <v>39</v>
      </c>
      <c r="B5" s="22">
        <v>943881.0</v>
      </c>
      <c r="C5" s="22">
        <v>896295.0</v>
      </c>
      <c r="D5" s="19"/>
    </row>
    <row r="6" ht="9.75" customHeight="1">
      <c r="A6" s="21" t="s">
        <v>48</v>
      </c>
      <c r="B6" s="22">
        <v>552788.0</v>
      </c>
      <c r="C6" s="22">
        <v>553781.0</v>
      </c>
      <c r="D6" s="19"/>
    </row>
    <row r="7" ht="9.75" customHeight="1">
      <c r="A7" s="21" t="s">
        <v>61</v>
      </c>
      <c r="B7" s="22">
        <v>131330.0</v>
      </c>
      <c r="C7" s="22">
        <v>112051.0</v>
      </c>
      <c r="D7" s="19"/>
    </row>
    <row r="8" ht="9.75" customHeight="1">
      <c r="A8" s="21" t="s">
        <v>66</v>
      </c>
      <c r="B8" s="22">
        <v>88047.0</v>
      </c>
      <c r="C8" s="22">
        <v>85917.0</v>
      </c>
      <c r="D8" s="19"/>
    </row>
    <row r="9" ht="9.75" customHeight="1">
      <c r="A9" s="21" t="s">
        <v>69</v>
      </c>
      <c r="B9" s="22">
        <v>155983.0</v>
      </c>
      <c r="C9" s="22">
        <v>148453.0</v>
      </c>
      <c r="D9" s="19"/>
    </row>
    <row r="10" ht="9.75" customHeight="1">
      <c r="A10" s="23" t="s">
        <v>189</v>
      </c>
      <c r="B10" s="24">
        <v>7835113.0</v>
      </c>
      <c r="C10" s="24">
        <v>7755298.0</v>
      </c>
      <c r="D10" s="19"/>
    </row>
    <row r="11" ht="9.75" customHeight="1">
      <c r="A11" s="23" t="s">
        <v>190</v>
      </c>
      <c r="B11" s="24">
        <v>4766515.0</v>
      </c>
      <c r="C11" s="24">
        <v>4655087.0</v>
      </c>
      <c r="D11" s="19"/>
    </row>
    <row r="12" ht="9.75" customHeight="1">
      <c r="A12" s="23" t="s">
        <v>191</v>
      </c>
      <c r="B12" s="24">
        <v>1.2601627E7</v>
      </c>
      <c r="C12" s="24">
        <v>1.2410385E7</v>
      </c>
      <c r="D12" s="19"/>
    </row>
    <row r="13">
      <c r="A13" s="25" t="s">
        <v>192</v>
      </c>
      <c r="B13" s="26">
        <v>1214738.0</v>
      </c>
      <c r="C13" s="26">
        <v>1201659.0</v>
      </c>
    </row>
    <row r="14">
      <c r="A14" s="27" t="s">
        <v>193</v>
      </c>
      <c r="B14" s="26">
        <v>710883.0</v>
      </c>
      <c r="C14" s="26">
        <v>691576.0</v>
      </c>
    </row>
    <row r="15">
      <c r="A15" s="27" t="s">
        <v>194</v>
      </c>
      <c r="B15" s="26">
        <v>252812.0</v>
      </c>
      <c r="C15" s="26">
        <v>393551.0</v>
      </c>
    </row>
    <row r="16">
      <c r="A16" s="28" t="s">
        <v>150</v>
      </c>
      <c r="B16" s="29">
        <v>11592.0</v>
      </c>
      <c r="C16" s="30">
        <v>11886.0</v>
      </c>
    </row>
    <row r="17">
      <c r="A17" s="28" t="s">
        <v>153</v>
      </c>
      <c r="B17" s="29">
        <v>10793.0</v>
      </c>
      <c r="C17" s="30">
        <v>11107.0</v>
      </c>
    </row>
    <row r="18">
      <c r="A18" s="31" t="s">
        <v>195</v>
      </c>
      <c r="B18" s="32">
        <v>2200816.0</v>
      </c>
      <c r="C18" s="33">
        <v>2309779.0</v>
      </c>
    </row>
    <row r="19">
      <c r="A19" s="34" t="s">
        <v>196</v>
      </c>
      <c r="B19" s="35">
        <v>1.4802443E7</v>
      </c>
      <c r="C19" s="35">
        <v>1.4720164E7</v>
      </c>
    </row>
    <row r="20">
      <c r="A20" s="28" t="s">
        <v>183</v>
      </c>
      <c r="B20" s="29">
        <v>40699.0</v>
      </c>
      <c r="C20" s="30">
        <v>40699.0</v>
      </c>
    </row>
    <row r="21">
      <c r="A21" s="28" t="s">
        <v>184</v>
      </c>
      <c r="B21" s="29">
        <v>314096.0</v>
      </c>
      <c r="C21" s="30">
        <v>314096.0</v>
      </c>
    </row>
    <row r="22">
      <c r="A22" s="34" t="s">
        <v>197</v>
      </c>
      <c r="B22" s="35">
        <v>1.5157238E7</v>
      </c>
      <c r="C22" s="35">
        <v>1.5074959E7</v>
      </c>
    </row>
    <row r="23">
      <c r="A23" s="34" t="s">
        <v>198</v>
      </c>
      <c r="B23" s="36">
        <v>1060773.0</v>
      </c>
      <c r="C23" s="36">
        <v>1037494.0</v>
      </c>
    </row>
    <row r="24">
      <c r="B24" s="37"/>
      <c r="C24" s="37"/>
    </row>
    <row r="25">
      <c r="B25" s="37"/>
      <c r="C25" s="37"/>
    </row>
    <row r="26">
      <c r="B26" s="37"/>
      <c r="C26" s="37"/>
    </row>
    <row r="27">
      <c r="B27" s="37"/>
      <c r="C27" s="37"/>
    </row>
    <row r="28">
      <c r="B28" s="37"/>
      <c r="C28" s="37"/>
    </row>
    <row r="29">
      <c r="B29" s="37"/>
      <c r="C29" s="37"/>
    </row>
    <row r="30">
      <c r="B30" s="37"/>
      <c r="C30" s="37"/>
    </row>
    <row r="31">
      <c r="B31" s="37"/>
      <c r="C31" s="37"/>
    </row>
    <row r="32">
      <c r="B32" s="37"/>
      <c r="C32" s="37"/>
    </row>
    <row r="33">
      <c r="B33" s="37"/>
      <c r="C33" s="37"/>
    </row>
    <row r="34">
      <c r="B34" s="37"/>
      <c r="C34" s="37"/>
    </row>
    <row r="35">
      <c r="B35" s="37"/>
      <c r="C35" s="37"/>
    </row>
    <row r="36">
      <c r="B36" s="37"/>
      <c r="C36" s="37"/>
    </row>
    <row r="37">
      <c r="B37" s="37"/>
      <c r="C37" s="37"/>
    </row>
    <row r="38">
      <c r="B38" s="37"/>
      <c r="C38" s="37"/>
    </row>
    <row r="39">
      <c r="B39" s="37"/>
      <c r="C39" s="37"/>
    </row>
    <row r="40">
      <c r="B40" s="37"/>
      <c r="C40" s="37"/>
    </row>
    <row r="41">
      <c r="B41" s="37"/>
      <c r="C41" s="37"/>
    </row>
    <row r="42">
      <c r="B42" s="37"/>
      <c r="C42" s="37"/>
    </row>
    <row r="43">
      <c r="B43" s="37"/>
      <c r="C43" s="37"/>
    </row>
    <row r="44">
      <c r="B44" s="37"/>
      <c r="C44" s="37"/>
    </row>
    <row r="45">
      <c r="B45" s="37"/>
      <c r="C45" s="37"/>
    </row>
    <row r="46">
      <c r="B46" s="37"/>
      <c r="C46" s="37"/>
    </row>
    <row r="47">
      <c r="B47" s="37"/>
      <c r="C47" s="37"/>
    </row>
    <row r="48">
      <c r="B48" s="37"/>
      <c r="C48" s="37"/>
    </row>
    <row r="49">
      <c r="B49" s="37"/>
      <c r="C49" s="37"/>
    </row>
    <row r="50">
      <c r="B50" s="37"/>
      <c r="C50" s="37"/>
    </row>
    <row r="51">
      <c r="B51" s="37"/>
      <c r="C51" s="37"/>
    </row>
    <row r="52">
      <c r="B52" s="37"/>
      <c r="C52" s="37"/>
    </row>
    <row r="53">
      <c r="B53" s="37"/>
      <c r="C53" s="37"/>
    </row>
    <row r="54">
      <c r="B54" s="37"/>
      <c r="C54" s="37"/>
    </row>
    <row r="55">
      <c r="B55" s="37"/>
      <c r="C55" s="37"/>
    </row>
    <row r="56">
      <c r="B56" s="37"/>
      <c r="C56" s="37"/>
    </row>
    <row r="57">
      <c r="B57" s="37"/>
      <c r="C57" s="37"/>
    </row>
    <row r="58">
      <c r="B58" s="37"/>
      <c r="C58" s="37"/>
    </row>
    <row r="59">
      <c r="B59" s="37"/>
      <c r="C59" s="37"/>
    </row>
    <row r="60">
      <c r="B60" s="37"/>
      <c r="C60" s="37"/>
    </row>
    <row r="61">
      <c r="B61" s="37"/>
      <c r="C61" s="37"/>
    </row>
    <row r="62">
      <c r="B62" s="37"/>
      <c r="C62" s="37"/>
    </row>
    <row r="63">
      <c r="B63" s="37"/>
      <c r="C63" s="37"/>
    </row>
    <row r="64">
      <c r="B64" s="37"/>
      <c r="C64" s="37"/>
    </row>
    <row r="65">
      <c r="B65" s="37"/>
      <c r="C65" s="37"/>
    </row>
    <row r="66">
      <c r="B66" s="37"/>
      <c r="C66" s="37"/>
    </row>
    <row r="67">
      <c r="B67" s="37"/>
      <c r="C67" s="37"/>
    </row>
    <row r="68">
      <c r="B68" s="37"/>
      <c r="C68" s="37"/>
    </row>
    <row r="69">
      <c r="B69" s="37"/>
      <c r="C69" s="37"/>
    </row>
    <row r="70">
      <c r="B70" s="37"/>
      <c r="C70" s="37"/>
    </row>
    <row r="71">
      <c r="B71" s="37"/>
      <c r="C71" s="37"/>
    </row>
    <row r="72">
      <c r="B72" s="37"/>
      <c r="C72" s="37"/>
    </row>
    <row r="73">
      <c r="B73" s="37"/>
      <c r="C73" s="37"/>
    </row>
    <row r="74">
      <c r="B74" s="37"/>
      <c r="C74" s="37"/>
    </row>
    <row r="75">
      <c r="B75" s="37"/>
      <c r="C75" s="37"/>
    </row>
    <row r="76">
      <c r="B76" s="37"/>
      <c r="C76" s="37"/>
    </row>
    <row r="77">
      <c r="B77" s="37"/>
      <c r="C77" s="37"/>
    </row>
    <row r="78">
      <c r="B78" s="37"/>
      <c r="C78" s="37"/>
    </row>
    <row r="79">
      <c r="B79" s="37"/>
      <c r="C79" s="37"/>
    </row>
    <row r="80">
      <c r="B80" s="37"/>
      <c r="C80" s="37"/>
    </row>
    <row r="81">
      <c r="B81" s="37"/>
      <c r="C81" s="37"/>
    </row>
    <row r="82">
      <c r="B82" s="37"/>
      <c r="C82" s="37"/>
    </row>
    <row r="83">
      <c r="B83" s="37"/>
      <c r="C83" s="37"/>
    </row>
    <row r="84">
      <c r="B84" s="37"/>
      <c r="C84" s="37"/>
    </row>
    <row r="85">
      <c r="B85" s="37"/>
      <c r="C85" s="37"/>
    </row>
    <row r="86">
      <c r="B86" s="37"/>
      <c r="C86" s="37"/>
    </row>
    <row r="87">
      <c r="B87" s="37"/>
      <c r="C87" s="37"/>
    </row>
    <row r="88">
      <c r="B88" s="37"/>
      <c r="C88" s="37"/>
    </row>
    <row r="89">
      <c r="B89" s="37"/>
      <c r="C89" s="37"/>
    </row>
    <row r="90">
      <c r="B90" s="37"/>
      <c r="C90" s="37"/>
    </row>
    <row r="91">
      <c r="B91" s="37"/>
      <c r="C91" s="37"/>
    </row>
    <row r="92">
      <c r="B92" s="37"/>
      <c r="C92" s="37"/>
    </row>
    <row r="93">
      <c r="B93" s="37"/>
      <c r="C93" s="37"/>
    </row>
    <row r="94">
      <c r="B94" s="37"/>
      <c r="C94" s="37"/>
    </row>
    <row r="95">
      <c r="B95" s="37"/>
      <c r="C95" s="37"/>
    </row>
    <row r="96">
      <c r="B96" s="37"/>
      <c r="C96" s="37"/>
    </row>
    <row r="97">
      <c r="B97" s="37"/>
      <c r="C97" s="37"/>
    </row>
    <row r="98">
      <c r="B98" s="37"/>
      <c r="C98" s="37"/>
    </row>
    <row r="99">
      <c r="B99" s="37"/>
      <c r="C99" s="37"/>
    </row>
    <row r="100">
      <c r="B100" s="37"/>
      <c r="C100" s="37"/>
    </row>
    <row r="101">
      <c r="B101" s="37"/>
      <c r="C101" s="37"/>
    </row>
    <row r="102">
      <c r="B102" s="37"/>
      <c r="C102" s="37"/>
    </row>
    <row r="103">
      <c r="B103" s="37"/>
      <c r="C103" s="37"/>
    </row>
    <row r="104">
      <c r="B104" s="37"/>
      <c r="C104" s="37"/>
    </row>
    <row r="105">
      <c r="B105" s="37"/>
      <c r="C105" s="37"/>
    </row>
    <row r="106">
      <c r="B106" s="37"/>
      <c r="C106" s="37"/>
    </row>
    <row r="107">
      <c r="B107" s="37"/>
      <c r="C107" s="37"/>
    </row>
    <row r="108">
      <c r="B108" s="37"/>
      <c r="C108" s="37"/>
    </row>
    <row r="109">
      <c r="B109" s="37"/>
      <c r="C109" s="37"/>
    </row>
    <row r="110">
      <c r="B110" s="37"/>
      <c r="C110" s="37"/>
    </row>
    <row r="111">
      <c r="B111" s="37"/>
      <c r="C111" s="37"/>
    </row>
    <row r="112">
      <c r="B112" s="37"/>
      <c r="C112" s="37"/>
    </row>
    <row r="113">
      <c r="B113" s="37"/>
      <c r="C113" s="37"/>
    </row>
    <row r="114">
      <c r="B114" s="37"/>
      <c r="C114" s="37"/>
    </row>
    <row r="115">
      <c r="B115" s="37"/>
      <c r="C115" s="37"/>
    </row>
    <row r="116">
      <c r="B116" s="37"/>
      <c r="C116" s="37"/>
    </row>
    <row r="117">
      <c r="B117" s="37"/>
      <c r="C117" s="37"/>
    </row>
    <row r="118">
      <c r="B118" s="37"/>
      <c r="C118" s="37"/>
    </row>
    <row r="119">
      <c r="B119" s="37"/>
      <c r="C119" s="37"/>
    </row>
    <row r="120">
      <c r="B120" s="37"/>
      <c r="C120" s="37"/>
    </row>
    <row r="121">
      <c r="B121" s="37"/>
      <c r="C121" s="37"/>
    </row>
    <row r="122">
      <c r="B122" s="37"/>
      <c r="C122" s="37"/>
    </row>
    <row r="123">
      <c r="B123" s="37"/>
      <c r="C123" s="37"/>
    </row>
    <row r="124">
      <c r="B124" s="37"/>
      <c r="C124" s="37"/>
    </row>
    <row r="125">
      <c r="B125" s="37"/>
      <c r="C125" s="37"/>
    </row>
    <row r="126">
      <c r="B126" s="37"/>
      <c r="C126" s="37"/>
    </row>
    <row r="127">
      <c r="B127" s="37"/>
      <c r="C127" s="37"/>
    </row>
    <row r="128">
      <c r="B128" s="37"/>
      <c r="C128" s="37"/>
    </row>
    <row r="129">
      <c r="B129" s="37"/>
      <c r="C129" s="37"/>
    </row>
    <row r="130">
      <c r="B130" s="37"/>
      <c r="C130" s="37"/>
    </row>
    <row r="131">
      <c r="B131" s="37"/>
      <c r="C131" s="37"/>
    </row>
    <row r="132">
      <c r="B132" s="37"/>
      <c r="C132" s="37"/>
    </row>
    <row r="133">
      <c r="B133" s="37"/>
      <c r="C133" s="37"/>
    </row>
    <row r="134">
      <c r="B134" s="37"/>
      <c r="C134" s="37"/>
    </row>
    <row r="135">
      <c r="B135" s="37"/>
      <c r="C135" s="37"/>
    </row>
    <row r="136">
      <c r="B136" s="37"/>
      <c r="C136" s="37"/>
    </row>
    <row r="137">
      <c r="B137" s="37"/>
      <c r="C137" s="37"/>
    </row>
    <row r="138">
      <c r="B138" s="37"/>
      <c r="C138" s="37"/>
    </row>
    <row r="139">
      <c r="B139" s="37"/>
      <c r="C139" s="37"/>
    </row>
    <row r="140">
      <c r="B140" s="37"/>
      <c r="C140" s="37"/>
    </row>
    <row r="141">
      <c r="B141" s="37"/>
      <c r="C141" s="37"/>
    </row>
    <row r="142">
      <c r="B142" s="37"/>
      <c r="C142" s="37"/>
    </row>
    <row r="143">
      <c r="B143" s="37"/>
      <c r="C143" s="37"/>
    </row>
    <row r="144">
      <c r="B144" s="37"/>
      <c r="C144" s="37"/>
    </row>
    <row r="145">
      <c r="B145" s="37"/>
      <c r="C145" s="37"/>
    </row>
    <row r="146">
      <c r="B146" s="37"/>
      <c r="C146" s="37"/>
    </row>
    <row r="147">
      <c r="B147" s="37"/>
      <c r="C147" s="37"/>
    </row>
    <row r="148">
      <c r="B148" s="37"/>
      <c r="C148" s="37"/>
    </row>
    <row r="149">
      <c r="B149" s="37"/>
      <c r="C149" s="37"/>
    </row>
    <row r="150">
      <c r="B150" s="37"/>
      <c r="C150" s="37"/>
    </row>
    <row r="151">
      <c r="B151" s="37"/>
      <c r="C151" s="37"/>
    </row>
    <row r="152">
      <c r="B152" s="37"/>
      <c r="C152" s="37"/>
    </row>
    <row r="153">
      <c r="B153" s="37"/>
      <c r="C153" s="37"/>
    </row>
    <row r="154">
      <c r="B154" s="37"/>
      <c r="C154" s="37"/>
    </row>
    <row r="155">
      <c r="B155" s="37"/>
      <c r="C155" s="37"/>
    </row>
    <row r="156">
      <c r="B156" s="37"/>
      <c r="C156" s="37"/>
    </row>
    <row r="157">
      <c r="B157" s="37"/>
      <c r="C157" s="37"/>
    </row>
    <row r="158">
      <c r="B158" s="37"/>
      <c r="C158" s="37"/>
    </row>
    <row r="159">
      <c r="B159" s="37"/>
      <c r="C159" s="37"/>
    </row>
    <row r="160">
      <c r="B160" s="37"/>
      <c r="C160" s="37"/>
    </row>
    <row r="161">
      <c r="B161" s="37"/>
      <c r="C161" s="37"/>
    </row>
    <row r="162">
      <c r="B162" s="37"/>
      <c r="C162" s="37"/>
    </row>
    <row r="163">
      <c r="B163" s="37"/>
      <c r="C163" s="37"/>
    </row>
    <row r="164">
      <c r="B164" s="37"/>
      <c r="C164" s="37"/>
    </row>
    <row r="165">
      <c r="B165" s="37"/>
      <c r="C165" s="37"/>
    </row>
    <row r="166">
      <c r="B166" s="37"/>
      <c r="C166" s="37"/>
    </row>
    <row r="167">
      <c r="B167" s="37"/>
      <c r="C167" s="37"/>
    </row>
    <row r="168">
      <c r="B168" s="37"/>
      <c r="C168" s="37"/>
    </row>
    <row r="169">
      <c r="B169" s="37"/>
      <c r="C169" s="37"/>
    </row>
    <row r="170">
      <c r="B170" s="37"/>
      <c r="C170" s="37"/>
    </row>
    <row r="171">
      <c r="B171" s="37"/>
      <c r="C171" s="37"/>
    </row>
    <row r="172">
      <c r="B172" s="37"/>
      <c r="C172" s="37"/>
    </row>
    <row r="173">
      <c r="B173" s="37"/>
      <c r="C173" s="37"/>
    </row>
    <row r="174">
      <c r="B174" s="37"/>
      <c r="C174" s="37"/>
    </row>
    <row r="175">
      <c r="B175" s="37"/>
      <c r="C175" s="37"/>
    </row>
    <row r="176">
      <c r="B176" s="37"/>
      <c r="C176" s="37"/>
    </row>
    <row r="177">
      <c r="B177" s="37"/>
      <c r="C177" s="37"/>
    </row>
    <row r="178">
      <c r="B178" s="37"/>
      <c r="C178" s="37"/>
    </row>
    <row r="179">
      <c r="B179" s="37"/>
      <c r="C179" s="37"/>
    </row>
    <row r="180">
      <c r="B180" s="37"/>
      <c r="C180" s="37"/>
    </row>
    <row r="181">
      <c r="B181" s="37"/>
      <c r="C181" s="37"/>
    </row>
    <row r="182">
      <c r="B182" s="37"/>
      <c r="C182" s="37"/>
    </row>
    <row r="183">
      <c r="B183" s="37"/>
      <c r="C183" s="37"/>
    </row>
    <row r="184">
      <c r="B184" s="37"/>
      <c r="C184" s="37"/>
    </row>
    <row r="185">
      <c r="B185" s="37"/>
      <c r="C185" s="37"/>
    </row>
    <row r="186">
      <c r="B186" s="37"/>
      <c r="C186" s="37"/>
    </row>
    <row r="187">
      <c r="B187" s="37"/>
      <c r="C187" s="37"/>
    </row>
    <row r="188">
      <c r="B188" s="37"/>
      <c r="C188" s="37"/>
    </row>
    <row r="189">
      <c r="B189" s="37"/>
      <c r="C189" s="37"/>
    </row>
    <row r="190">
      <c r="B190" s="37"/>
      <c r="C190" s="37"/>
    </row>
    <row r="191">
      <c r="B191" s="37"/>
      <c r="C191" s="37"/>
    </row>
    <row r="192">
      <c r="B192" s="37"/>
      <c r="C192" s="37"/>
    </row>
    <row r="193">
      <c r="B193" s="37"/>
      <c r="C193" s="37"/>
    </row>
    <row r="194">
      <c r="B194" s="37"/>
      <c r="C194" s="37"/>
    </row>
    <row r="195">
      <c r="B195" s="37"/>
      <c r="C195" s="37"/>
    </row>
    <row r="196">
      <c r="B196" s="37"/>
      <c r="C196" s="37"/>
    </row>
    <row r="197">
      <c r="B197" s="37"/>
      <c r="C197" s="37"/>
    </row>
    <row r="198">
      <c r="B198" s="37"/>
      <c r="C198" s="37"/>
    </row>
    <row r="199">
      <c r="B199" s="37"/>
      <c r="C199" s="37"/>
    </row>
    <row r="200">
      <c r="B200" s="37"/>
      <c r="C200" s="37"/>
    </row>
    <row r="201">
      <c r="B201" s="37"/>
      <c r="C201" s="37"/>
    </row>
    <row r="202">
      <c r="B202" s="37"/>
      <c r="C202" s="37"/>
    </row>
    <row r="203">
      <c r="B203" s="37"/>
      <c r="C203" s="37"/>
    </row>
    <row r="204">
      <c r="B204" s="37"/>
      <c r="C204" s="37"/>
    </row>
    <row r="205">
      <c r="B205" s="37"/>
      <c r="C205" s="37"/>
    </row>
    <row r="206">
      <c r="B206" s="37"/>
      <c r="C206" s="37"/>
    </row>
    <row r="207">
      <c r="B207" s="37"/>
      <c r="C207" s="37"/>
    </row>
    <row r="208">
      <c r="B208" s="37"/>
      <c r="C208" s="37"/>
    </row>
    <row r="209">
      <c r="B209" s="37"/>
      <c r="C209" s="37"/>
    </row>
    <row r="210">
      <c r="B210" s="37"/>
      <c r="C210" s="37"/>
    </row>
    <row r="211">
      <c r="B211" s="37"/>
      <c r="C211" s="37"/>
    </row>
    <row r="212">
      <c r="B212" s="37"/>
      <c r="C212" s="37"/>
    </row>
    <row r="213">
      <c r="B213" s="37"/>
      <c r="C213" s="37"/>
    </row>
    <row r="214">
      <c r="B214" s="37"/>
      <c r="C214" s="37"/>
    </row>
    <row r="215">
      <c r="B215" s="37"/>
      <c r="C215" s="37"/>
    </row>
    <row r="216">
      <c r="B216" s="37"/>
      <c r="C216" s="37"/>
    </row>
    <row r="217">
      <c r="B217" s="37"/>
      <c r="C217" s="37"/>
    </row>
    <row r="218">
      <c r="B218" s="37"/>
      <c r="C218" s="37"/>
    </row>
    <row r="219">
      <c r="B219" s="37"/>
      <c r="C219" s="37"/>
    </row>
    <row r="220">
      <c r="B220" s="37"/>
      <c r="C220" s="37"/>
    </row>
    <row r="221">
      <c r="B221" s="37"/>
      <c r="C221" s="37"/>
    </row>
    <row r="222">
      <c r="B222" s="37"/>
      <c r="C222" s="37"/>
    </row>
    <row r="223">
      <c r="B223" s="37"/>
      <c r="C223" s="37"/>
    </row>
    <row r="224">
      <c r="B224" s="37"/>
      <c r="C224" s="37"/>
    </row>
    <row r="225">
      <c r="B225" s="37"/>
      <c r="C225" s="37"/>
    </row>
    <row r="226">
      <c r="B226" s="37"/>
      <c r="C226" s="37"/>
    </row>
    <row r="227">
      <c r="B227" s="37"/>
      <c r="C227" s="37"/>
    </row>
    <row r="228">
      <c r="B228" s="37"/>
      <c r="C228" s="37"/>
    </row>
    <row r="229">
      <c r="B229" s="37"/>
      <c r="C229" s="37"/>
    </row>
    <row r="230">
      <c r="B230" s="37"/>
      <c r="C230" s="37"/>
    </row>
    <row r="231">
      <c r="B231" s="37"/>
      <c r="C231" s="37"/>
    </row>
    <row r="232">
      <c r="B232" s="37"/>
      <c r="C232" s="37"/>
    </row>
    <row r="233">
      <c r="B233" s="37"/>
      <c r="C233" s="37"/>
    </row>
    <row r="234">
      <c r="B234" s="37"/>
      <c r="C234" s="37"/>
    </row>
    <row r="235">
      <c r="B235" s="37"/>
      <c r="C235" s="37"/>
    </row>
    <row r="236">
      <c r="B236" s="37"/>
      <c r="C236" s="37"/>
    </row>
    <row r="237">
      <c r="B237" s="37"/>
      <c r="C237" s="37"/>
    </row>
    <row r="238">
      <c r="B238" s="37"/>
      <c r="C238" s="37"/>
    </row>
    <row r="239">
      <c r="B239" s="37"/>
      <c r="C239" s="37"/>
    </row>
    <row r="240">
      <c r="B240" s="37"/>
      <c r="C240" s="37"/>
    </row>
    <row r="241">
      <c r="B241" s="37"/>
      <c r="C241" s="37"/>
    </row>
    <row r="242">
      <c r="B242" s="37"/>
      <c r="C242" s="37"/>
    </row>
    <row r="243">
      <c r="B243" s="37"/>
      <c r="C243" s="37"/>
    </row>
    <row r="244">
      <c r="B244" s="37"/>
      <c r="C244" s="37"/>
    </row>
    <row r="245">
      <c r="B245" s="37"/>
      <c r="C245" s="37"/>
    </row>
    <row r="246">
      <c r="B246" s="37"/>
      <c r="C246" s="37"/>
    </row>
    <row r="247">
      <c r="B247" s="37"/>
      <c r="C247" s="37"/>
    </row>
    <row r="248">
      <c r="B248" s="37"/>
      <c r="C248" s="37"/>
    </row>
    <row r="249">
      <c r="B249" s="37"/>
      <c r="C249" s="37"/>
    </row>
    <row r="250">
      <c r="B250" s="37"/>
      <c r="C250" s="37"/>
    </row>
    <row r="251">
      <c r="B251" s="37"/>
      <c r="C251" s="37"/>
    </row>
    <row r="252">
      <c r="B252" s="37"/>
      <c r="C252" s="37"/>
    </row>
    <row r="253">
      <c r="B253" s="37"/>
      <c r="C253" s="37"/>
    </row>
    <row r="254">
      <c r="B254" s="37"/>
      <c r="C254" s="37"/>
    </row>
    <row r="255">
      <c r="B255" s="37"/>
      <c r="C255" s="37"/>
    </row>
    <row r="256">
      <c r="B256" s="37"/>
      <c r="C256" s="37"/>
    </row>
    <row r="257">
      <c r="B257" s="37"/>
      <c r="C257" s="37"/>
    </row>
    <row r="258">
      <c r="B258" s="37"/>
      <c r="C258" s="37"/>
    </row>
    <row r="259">
      <c r="B259" s="37"/>
      <c r="C259" s="37"/>
    </row>
    <row r="260">
      <c r="B260" s="37"/>
      <c r="C260" s="37"/>
    </row>
    <row r="261">
      <c r="B261" s="37"/>
      <c r="C261" s="37"/>
    </row>
    <row r="262">
      <c r="B262" s="37"/>
      <c r="C262" s="37"/>
    </row>
    <row r="263">
      <c r="B263" s="37"/>
      <c r="C263" s="37"/>
    </row>
    <row r="264">
      <c r="B264" s="37"/>
      <c r="C264" s="37"/>
    </row>
    <row r="265">
      <c r="B265" s="37"/>
      <c r="C265" s="37"/>
    </row>
    <row r="266">
      <c r="B266" s="37"/>
      <c r="C266" s="37"/>
    </row>
    <row r="267">
      <c r="B267" s="37"/>
      <c r="C267" s="37"/>
    </row>
    <row r="268">
      <c r="B268" s="37"/>
      <c r="C268" s="37"/>
    </row>
    <row r="269">
      <c r="B269" s="37"/>
      <c r="C269" s="37"/>
    </row>
    <row r="270">
      <c r="B270" s="37"/>
      <c r="C270" s="37"/>
    </row>
    <row r="271">
      <c r="B271" s="37"/>
      <c r="C271" s="37"/>
    </row>
    <row r="272">
      <c r="B272" s="37"/>
      <c r="C272" s="37"/>
    </row>
    <row r="273">
      <c r="B273" s="37"/>
      <c r="C273" s="37"/>
    </row>
    <row r="274">
      <c r="B274" s="37"/>
      <c r="C274" s="37"/>
    </row>
    <row r="275">
      <c r="B275" s="37"/>
      <c r="C275" s="37"/>
    </row>
    <row r="276">
      <c r="B276" s="37"/>
      <c r="C276" s="37"/>
    </row>
    <row r="277">
      <c r="B277" s="37"/>
      <c r="C277" s="37"/>
    </row>
    <row r="278">
      <c r="B278" s="37"/>
      <c r="C278" s="37"/>
    </row>
    <row r="279">
      <c r="B279" s="37"/>
      <c r="C279" s="37"/>
    </row>
    <row r="280">
      <c r="B280" s="37"/>
      <c r="C280" s="37"/>
    </row>
    <row r="281">
      <c r="B281" s="37"/>
      <c r="C281" s="37"/>
    </row>
    <row r="282">
      <c r="B282" s="37"/>
      <c r="C282" s="37"/>
    </row>
    <row r="283">
      <c r="B283" s="37"/>
      <c r="C283" s="37"/>
    </row>
    <row r="284">
      <c r="B284" s="37"/>
      <c r="C284" s="37"/>
    </row>
    <row r="285">
      <c r="B285" s="37"/>
      <c r="C285" s="37"/>
    </row>
    <row r="286">
      <c r="B286" s="37"/>
      <c r="C286" s="37"/>
    </row>
    <row r="287">
      <c r="B287" s="37"/>
      <c r="C287" s="37"/>
    </row>
    <row r="288">
      <c r="B288" s="37"/>
      <c r="C288" s="37"/>
    </row>
    <row r="289">
      <c r="B289" s="37"/>
      <c r="C289" s="37"/>
    </row>
    <row r="290">
      <c r="B290" s="37"/>
      <c r="C290" s="37"/>
    </row>
    <row r="291">
      <c r="B291" s="37"/>
      <c r="C291" s="37"/>
    </row>
    <row r="292">
      <c r="B292" s="37"/>
      <c r="C292" s="37"/>
    </row>
    <row r="293">
      <c r="B293" s="37"/>
      <c r="C293" s="37"/>
    </row>
    <row r="294">
      <c r="B294" s="37"/>
      <c r="C294" s="37"/>
    </row>
    <row r="295">
      <c r="B295" s="37"/>
      <c r="C295" s="37"/>
    </row>
    <row r="296">
      <c r="B296" s="37"/>
      <c r="C296" s="37"/>
    </row>
    <row r="297">
      <c r="B297" s="37"/>
      <c r="C297" s="37"/>
    </row>
    <row r="298">
      <c r="B298" s="37"/>
      <c r="C298" s="37"/>
    </row>
    <row r="299">
      <c r="B299" s="37"/>
      <c r="C299" s="37"/>
    </row>
    <row r="300">
      <c r="B300" s="37"/>
      <c r="C300" s="37"/>
    </row>
    <row r="301">
      <c r="B301" s="37"/>
      <c r="C301" s="37"/>
    </row>
    <row r="302">
      <c r="B302" s="37"/>
      <c r="C302" s="37"/>
    </row>
    <row r="303">
      <c r="B303" s="37"/>
      <c r="C303" s="37"/>
    </row>
    <row r="304">
      <c r="B304" s="37"/>
      <c r="C304" s="37"/>
    </row>
    <row r="305">
      <c r="B305" s="37"/>
      <c r="C305" s="37"/>
    </row>
    <row r="306">
      <c r="B306" s="37"/>
      <c r="C306" s="37"/>
    </row>
    <row r="307">
      <c r="B307" s="37"/>
      <c r="C307" s="37"/>
    </row>
    <row r="308">
      <c r="B308" s="37"/>
      <c r="C308" s="37"/>
    </row>
    <row r="309">
      <c r="B309" s="37"/>
      <c r="C309" s="37"/>
    </row>
    <row r="310">
      <c r="B310" s="37"/>
      <c r="C310" s="37"/>
    </row>
    <row r="311">
      <c r="B311" s="37"/>
      <c r="C311" s="37"/>
    </row>
    <row r="312">
      <c r="B312" s="37"/>
      <c r="C312" s="37"/>
    </row>
    <row r="313">
      <c r="B313" s="37"/>
      <c r="C313" s="37"/>
    </row>
    <row r="314">
      <c r="B314" s="37"/>
      <c r="C314" s="37"/>
    </row>
    <row r="315">
      <c r="B315" s="37"/>
      <c r="C315" s="37"/>
    </row>
    <row r="316">
      <c r="B316" s="37"/>
      <c r="C316" s="37"/>
    </row>
    <row r="317">
      <c r="B317" s="37"/>
      <c r="C317" s="37"/>
    </row>
    <row r="318">
      <c r="B318" s="37"/>
      <c r="C318" s="37"/>
    </row>
    <row r="319">
      <c r="B319" s="37"/>
      <c r="C319" s="37"/>
    </row>
    <row r="320">
      <c r="B320" s="37"/>
      <c r="C320" s="37"/>
    </row>
    <row r="321">
      <c r="B321" s="37"/>
      <c r="C321" s="37"/>
    </row>
    <row r="322">
      <c r="B322" s="37"/>
      <c r="C322" s="37"/>
    </row>
    <row r="323">
      <c r="B323" s="37"/>
      <c r="C323" s="37"/>
    </row>
    <row r="324">
      <c r="B324" s="37"/>
      <c r="C324" s="37"/>
    </row>
    <row r="325">
      <c r="B325" s="37"/>
      <c r="C325" s="37"/>
    </row>
    <row r="326">
      <c r="B326" s="37"/>
      <c r="C326" s="37"/>
    </row>
    <row r="327">
      <c r="B327" s="37"/>
      <c r="C327" s="37"/>
    </row>
    <row r="328">
      <c r="B328" s="37"/>
      <c r="C328" s="37"/>
    </row>
    <row r="329">
      <c r="B329" s="37"/>
      <c r="C329" s="37"/>
    </row>
    <row r="330">
      <c r="B330" s="37"/>
      <c r="C330" s="37"/>
    </row>
    <row r="331">
      <c r="B331" s="37"/>
      <c r="C331" s="37"/>
    </row>
    <row r="332">
      <c r="B332" s="37"/>
      <c r="C332" s="37"/>
    </row>
    <row r="333">
      <c r="B333" s="37"/>
      <c r="C333" s="37"/>
    </row>
    <row r="334">
      <c r="B334" s="37"/>
      <c r="C334" s="37"/>
    </row>
    <row r="335">
      <c r="B335" s="37"/>
      <c r="C335" s="37"/>
    </row>
    <row r="336">
      <c r="B336" s="37"/>
      <c r="C336" s="37"/>
    </row>
    <row r="337">
      <c r="B337" s="37"/>
      <c r="C337" s="37"/>
    </row>
    <row r="338">
      <c r="B338" s="37"/>
      <c r="C338" s="37"/>
    </row>
    <row r="339">
      <c r="B339" s="37"/>
      <c r="C339" s="37"/>
    </row>
    <row r="340">
      <c r="B340" s="37"/>
      <c r="C340" s="37"/>
    </row>
    <row r="341">
      <c r="B341" s="37"/>
      <c r="C341" s="37"/>
    </row>
    <row r="342">
      <c r="B342" s="37"/>
      <c r="C342" s="37"/>
    </row>
    <row r="343">
      <c r="B343" s="37"/>
      <c r="C343" s="37"/>
    </row>
    <row r="344">
      <c r="B344" s="37"/>
      <c r="C344" s="37"/>
    </row>
    <row r="345">
      <c r="B345" s="37"/>
      <c r="C345" s="37"/>
    </row>
    <row r="346">
      <c r="B346" s="37"/>
      <c r="C346" s="37"/>
    </row>
    <row r="347">
      <c r="B347" s="37"/>
      <c r="C347" s="37"/>
    </row>
    <row r="348">
      <c r="B348" s="37"/>
      <c r="C348" s="37"/>
    </row>
    <row r="349">
      <c r="B349" s="37"/>
      <c r="C349" s="37"/>
    </row>
    <row r="350">
      <c r="B350" s="37"/>
      <c r="C350" s="37"/>
    </row>
    <row r="351">
      <c r="B351" s="37"/>
      <c r="C351" s="37"/>
    </row>
    <row r="352">
      <c r="B352" s="37"/>
      <c r="C352" s="37"/>
    </row>
    <row r="353">
      <c r="B353" s="37"/>
      <c r="C353" s="37"/>
    </row>
    <row r="354">
      <c r="B354" s="37"/>
      <c r="C354" s="37"/>
    </row>
    <row r="355">
      <c r="B355" s="37"/>
      <c r="C355" s="37"/>
    </row>
    <row r="356">
      <c r="B356" s="37"/>
      <c r="C356" s="37"/>
    </row>
    <row r="357">
      <c r="B357" s="37"/>
      <c r="C357" s="37"/>
    </row>
    <row r="358">
      <c r="B358" s="37"/>
      <c r="C358" s="37"/>
    </row>
    <row r="359">
      <c r="B359" s="37"/>
      <c r="C359" s="37"/>
    </row>
    <row r="360">
      <c r="B360" s="37"/>
      <c r="C360" s="37"/>
    </row>
    <row r="361">
      <c r="B361" s="37"/>
      <c r="C361" s="37"/>
    </row>
    <row r="362">
      <c r="B362" s="37"/>
      <c r="C362" s="37"/>
    </row>
    <row r="363">
      <c r="B363" s="37"/>
      <c r="C363" s="37"/>
    </row>
    <row r="364">
      <c r="B364" s="37"/>
      <c r="C364" s="37"/>
    </row>
    <row r="365">
      <c r="B365" s="37"/>
      <c r="C365" s="37"/>
    </row>
    <row r="366">
      <c r="B366" s="37"/>
      <c r="C366" s="37"/>
    </row>
    <row r="367">
      <c r="B367" s="37"/>
      <c r="C367" s="37"/>
    </row>
    <row r="368">
      <c r="B368" s="37"/>
      <c r="C368" s="37"/>
    </row>
    <row r="369">
      <c r="B369" s="37"/>
      <c r="C369" s="37"/>
    </row>
    <row r="370">
      <c r="B370" s="37"/>
      <c r="C370" s="37"/>
    </row>
    <row r="371">
      <c r="B371" s="37"/>
      <c r="C371" s="37"/>
    </row>
    <row r="372">
      <c r="B372" s="37"/>
      <c r="C372" s="37"/>
    </row>
    <row r="373">
      <c r="B373" s="37"/>
      <c r="C373" s="37"/>
    </row>
    <row r="374">
      <c r="B374" s="37"/>
      <c r="C374" s="37"/>
    </row>
    <row r="375">
      <c r="B375" s="37"/>
      <c r="C375" s="37"/>
    </row>
    <row r="376">
      <c r="B376" s="37"/>
      <c r="C376" s="37"/>
    </row>
    <row r="377">
      <c r="B377" s="37"/>
      <c r="C377" s="37"/>
    </row>
    <row r="378">
      <c r="B378" s="37"/>
      <c r="C378" s="37"/>
    </row>
    <row r="379">
      <c r="B379" s="37"/>
      <c r="C379" s="37"/>
    </row>
    <row r="380">
      <c r="B380" s="37"/>
      <c r="C380" s="37"/>
    </row>
    <row r="381">
      <c r="B381" s="37"/>
      <c r="C381" s="37"/>
    </row>
    <row r="382">
      <c r="B382" s="37"/>
      <c r="C382" s="37"/>
    </row>
    <row r="383">
      <c r="B383" s="37"/>
      <c r="C383" s="37"/>
    </row>
    <row r="384">
      <c r="B384" s="37"/>
      <c r="C384" s="37"/>
    </row>
    <row r="385">
      <c r="B385" s="37"/>
      <c r="C385" s="37"/>
    </row>
    <row r="386">
      <c r="B386" s="37"/>
      <c r="C386" s="37"/>
    </row>
    <row r="387">
      <c r="B387" s="37"/>
      <c r="C387" s="37"/>
    </row>
    <row r="388">
      <c r="B388" s="37"/>
      <c r="C388" s="37"/>
    </row>
    <row r="389">
      <c r="B389" s="37"/>
      <c r="C389" s="37"/>
    </row>
    <row r="390">
      <c r="B390" s="37"/>
      <c r="C390" s="37"/>
    </row>
    <row r="391">
      <c r="B391" s="37"/>
      <c r="C391" s="37"/>
    </row>
    <row r="392">
      <c r="B392" s="37"/>
      <c r="C392" s="37"/>
    </row>
    <row r="393">
      <c r="B393" s="37"/>
      <c r="C393" s="37"/>
    </row>
    <row r="394">
      <c r="B394" s="37"/>
      <c r="C394" s="37"/>
    </row>
    <row r="395">
      <c r="B395" s="37"/>
      <c r="C395" s="37"/>
    </row>
    <row r="396">
      <c r="B396" s="37"/>
      <c r="C396" s="37"/>
    </row>
    <row r="397">
      <c r="B397" s="37"/>
      <c r="C397" s="37"/>
    </row>
    <row r="398">
      <c r="B398" s="37"/>
      <c r="C398" s="37"/>
    </row>
    <row r="399">
      <c r="B399" s="37"/>
      <c r="C399" s="37"/>
    </row>
    <row r="400">
      <c r="B400" s="37"/>
      <c r="C400" s="37"/>
    </row>
    <row r="401">
      <c r="B401" s="37"/>
      <c r="C401" s="37"/>
    </row>
    <row r="402">
      <c r="B402" s="37"/>
      <c r="C402" s="37"/>
    </row>
    <row r="403">
      <c r="B403" s="37"/>
      <c r="C403" s="37"/>
    </row>
    <row r="404">
      <c r="B404" s="37"/>
      <c r="C404" s="37"/>
    </row>
    <row r="405">
      <c r="B405" s="37"/>
      <c r="C405" s="37"/>
    </row>
    <row r="406">
      <c r="B406" s="37"/>
      <c r="C406" s="37"/>
    </row>
    <row r="407">
      <c r="B407" s="37"/>
      <c r="C407" s="37"/>
    </row>
    <row r="408">
      <c r="B408" s="37"/>
      <c r="C408" s="37"/>
    </row>
    <row r="409">
      <c r="B409" s="37"/>
      <c r="C409" s="37"/>
    </row>
    <row r="410">
      <c r="B410" s="37"/>
      <c r="C410" s="37"/>
    </row>
    <row r="411">
      <c r="B411" s="37"/>
      <c r="C411" s="37"/>
    </row>
    <row r="412">
      <c r="B412" s="37"/>
      <c r="C412" s="37"/>
    </row>
    <row r="413">
      <c r="B413" s="37"/>
      <c r="C413" s="37"/>
    </row>
    <row r="414">
      <c r="B414" s="37"/>
      <c r="C414" s="37"/>
    </row>
    <row r="415">
      <c r="B415" s="37"/>
      <c r="C415" s="37"/>
    </row>
    <row r="416">
      <c r="B416" s="37"/>
      <c r="C416" s="37"/>
    </row>
    <row r="417">
      <c r="B417" s="37"/>
      <c r="C417" s="37"/>
    </row>
    <row r="418">
      <c r="B418" s="37"/>
      <c r="C418" s="37"/>
    </row>
    <row r="419">
      <c r="B419" s="37"/>
      <c r="C419" s="37"/>
    </row>
    <row r="420">
      <c r="B420" s="37"/>
      <c r="C420" s="37"/>
    </row>
    <row r="421">
      <c r="B421" s="37"/>
      <c r="C421" s="37"/>
    </row>
    <row r="422">
      <c r="B422" s="37"/>
      <c r="C422" s="37"/>
    </row>
    <row r="423">
      <c r="B423" s="37"/>
      <c r="C423" s="37"/>
    </row>
    <row r="424">
      <c r="B424" s="37"/>
      <c r="C424" s="37"/>
    </row>
    <row r="425">
      <c r="B425" s="37"/>
      <c r="C425" s="37"/>
    </row>
    <row r="426">
      <c r="B426" s="37"/>
      <c r="C426" s="37"/>
    </row>
    <row r="427">
      <c r="B427" s="37"/>
      <c r="C427" s="37"/>
    </row>
    <row r="428">
      <c r="B428" s="37"/>
      <c r="C428" s="37"/>
    </row>
    <row r="429">
      <c r="B429" s="37"/>
      <c r="C429" s="37"/>
    </row>
    <row r="430">
      <c r="B430" s="37"/>
      <c r="C430" s="37"/>
    </row>
    <row r="431">
      <c r="B431" s="37"/>
      <c r="C431" s="37"/>
    </row>
    <row r="432">
      <c r="B432" s="37"/>
      <c r="C432" s="37"/>
    </row>
    <row r="433">
      <c r="B433" s="37"/>
      <c r="C433" s="37"/>
    </row>
    <row r="434">
      <c r="B434" s="37"/>
      <c r="C434" s="37"/>
    </row>
    <row r="435">
      <c r="B435" s="37"/>
      <c r="C435" s="37"/>
    </row>
    <row r="436">
      <c r="B436" s="37"/>
      <c r="C436" s="37"/>
    </row>
    <row r="437">
      <c r="B437" s="37"/>
      <c r="C437" s="37"/>
    </row>
    <row r="438">
      <c r="B438" s="37"/>
      <c r="C438" s="37"/>
    </row>
    <row r="439">
      <c r="B439" s="37"/>
      <c r="C439" s="37"/>
    </row>
    <row r="440">
      <c r="B440" s="37"/>
      <c r="C440" s="37"/>
    </row>
    <row r="441">
      <c r="B441" s="37"/>
      <c r="C441" s="37"/>
    </row>
    <row r="442">
      <c r="B442" s="37"/>
      <c r="C442" s="37"/>
    </row>
    <row r="443">
      <c r="B443" s="37"/>
      <c r="C443" s="37"/>
    </row>
    <row r="444">
      <c r="B444" s="37"/>
      <c r="C444" s="37"/>
    </row>
    <row r="445">
      <c r="B445" s="37"/>
      <c r="C445" s="37"/>
    </row>
    <row r="446">
      <c r="B446" s="37"/>
      <c r="C446" s="37"/>
    </row>
    <row r="447">
      <c r="B447" s="37"/>
      <c r="C447" s="37"/>
    </row>
    <row r="448">
      <c r="B448" s="37"/>
      <c r="C448" s="37"/>
    </row>
    <row r="449">
      <c r="B449" s="37"/>
      <c r="C449" s="37"/>
    </row>
    <row r="450">
      <c r="B450" s="37"/>
      <c r="C450" s="37"/>
    </row>
    <row r="451">
      <c r="B451" s="37"/>
      <c r="C451" s="37"/>
    </row>
    <row r="452">
      <c r="B452" s="37"/>
      <c r="C452" s="37"/>
    </row>
    <row r="453">
      <c r="B453" s="37"/>
      <c r="C453" s="37"/>
    </row>
    <row r="454">
      <c r="B454" s="37"/>
      <c r="C454" s="37"/>
    </row>
    <row r="455">
      <c r="B455" s="37"/>
      <c r="C455" s="37"/>
    </row>
    <row r="456">
      <c r="B456" s="37"/>
      <c r="C456" s="37"/>
    </row>
    <row r="457">
      <c r="B457" s="37"/>
      <c r="C457" s="37"/>
    </row>
    <row r="458">
      <c r="B458" s="37"/>
      <c r="C458" s="37"/>
    </row>
    <row r="459">
      <c r="B459" s="37"/>
      <c r="C459" s="37"/>
    </row>
    <row r="460">
      <c r="B460" s="37"/>
      <c r="C460" s="37"/>
    </row>
    <row r="461">
      <c r="B461" s="37"/>
      <c r="C461" s="37"/>
    </row>
    <row r="462">
      <c r="B462" s="37"/>
      <c r="C462" s="37"/>
    </row>
    <row r="463">
      <c r="B463" s="37"/>
      <c r="C463" s="37"/>
    </row>
    <row r="464">
      <c r="B464" s="37"/>
      <c r="C464" s="37"/>
    </row>
    <row r="465">
      <c r="B465" s="37"/>
      <c r="C465" s="37"/>
    </row>
    <row r="466">
      <c r="B466" s="37"/>
      <c r="C466" s="37"/>
    </row>
    <row r="467">
      <c r="B467" s="37"/>
      <c r="C467" s="37"/>
    </row>
    <row r="468">
      <c r="B468" s="37"/>
      <c r="C468" s="37"/>
    </row>
    <row r="469">
      <c r="B469" s="37"/>
      <c r="C469" s="37"/>
    </row>
    <row r="470">
      <c r="B470" s="37"/>
      <c r="C470" s="37"/>
    </row>
    <row r="471">
      <c r="B471" s="37"/>
      <c r="C471" s="37"/>
    </row>
    <row r="472">
      <c r="B472" s="37"/>
      <c r="C472" s="37"/>
    </row>
    <row r="473">
      <c r="B473" s="37"/>
      <c r="C473" s="37"/>
    </row>
    <row r="474">
      <c r="B474" s="37"/>
      <c r="C474" s="37"/>
    </row>
    <row r="475">
      <c r="B475" s="37"/>
      <c r="C475" s="37"/>
    </row>
    <row r="476">
      <c r="B476" s="37"/>
      <c r="C476" s="37"/>
    </row>
    <row r="477">
      <c r="B477" s="37"/>
      <c r="C477" s="37"/>
    </row>
    <row r="478">
      <c r="B478" s="37"/>
      <c r="C478" s="37"/>
    </row>
    <row r="479">
      <c r="B479" s="37"/>
      <c r="C479" s="37"/>
    </row>
    <row r="480">
      <c r="B480" s="37"/>
      <c r="C480" s="37"/>
    </row>
    <row r="481">
      <c r="B481" s="37"/>
      <c r="C481" s="37"/>
    </row>
    <row r="482">
      <c r="B482" s="37"/>
      <c r="C482" s="37"/>
    </row>
    <row r="483">
      <c r="B483" s="37"/>
      <c r="C483" s="37"/>
    </row>
    <row r="484">
      <c r="B484" s="37"/>
      <c r="C484" s="37"/>
    </row>
    <row r="485">
      <c r="B485" s="37"/>
      <c r="C485" s="37"/>
    </row>
    <row r="486">
      <c r="B486" s="37"/>
      <c r="C486" s="37"/>
    </row>
    <row r="487">
      <c r="B487" s="37"/>
      <c r="C487" s="37"/>
    </row>
    <row r="488">
      <c r="B488" s="37"/>
      <c r="C488" s="37"/>
    </row>
    <row r="489">
      <c r="B489" s="37"/>
      <c r="C489" s="37"/>
    </row>
    <row r="490">
      <c r="B490" s="37"/>
      <c r="C490" s="37"/>
    </row>
    <row r="491">
      <c r="B491" s="37"/>
      <c r="C491" s="37"/>
    </row>
    <row r="492">
      <c r="B492" s="37"/>
      <c r="C492" s="37"/>
    </row>
    <row r="493">
      <c r="B493" s="37"/>
      <c r="C493" s="37"/>
    </row>
    <row r="494">
      <c r="B494" s="37"/>
      <c r="C494" s="37"/>
    </row>
    <row r="495">
      <c r="B495" s="37"/>
      <c r="C495" s="37"/>
    </row>
    <row r="496">
      <c r="B496" s="37"/>
      <c r="C496" s="37"/>
    </row>
    <row r="497">
      <c r="B497" s="37"/>
      <c r="C497" s="37"/>
    </row>
    <row r="498">
      <c r="B498" s="37"/>
      <c r="C498" s="37"/>
    </row>
    <row r="499">
      <c r="B499" s="37"/>
      <c r="C499" s="37"/>
    </row>
    <row r="500">
      <c r="B500" s="37"/>
      <c r="C500" s="37"/>
    </row>
    <row r="501">
      <c r="B501" s="37"/>
      <c r="C501" s="37"/>
    </row>
    <row r="502">
      <c r="B502" s="37"/>
      <c r="C502" s="37"/>
    </row>
    <row r="503">
      <c r="B503" s="37"/>
      <c r="C503" s="37"/>
    </row>
    <row r="504">
      <c r="B504" s="37"/>
      <c r="C504" s="37"/>
    </row>
    <row r="505">
      <c r="B505" s="37"/>
      <c r="C505" s="37"/>
    </row>
    <row r="506">
      <c r="B506" s="37"/>
      <c r="C506" s="37"/>
    </row>
    <row r="507">
      <c r="B507" s="37"/>
      <c r="C507" s="37"/>
    </row>
    <row r="508">
      <c r="B508" s="37"/>
      <c r="C508" s="37"/>
    </row>
    <row r="509">
      <c r="B509" s="37"/>
      <c r="C509" s="37"/>
    </row>
    <row r="510">
      <c r="B510" s="37"/>
      <c r="C510" s="37"/>
    </row>
    <row r="511">
      <c r="B511" s="37"/>
      <c r="C511" s="37"/>
    </row>
    <row r="512">
      <c r="B512" s="37"/>
      <c r="C512" s="37"/>
    </row>
    <row r="513">
      <c r="B513" s="37"/>
      <c r="C513" s="37"/>
    </row>
    <row r="514">
      <c r="B514" s="37"/>
      <c r="C514" s="37"/>
    </row>
    <row r="515">
      <c r="B515" s="37"/>
      <c r="C515" s="37"/>
    </row>
    <row r="516">
      <c r="B516" s="37"/>
      <c r="C516" s="37"/>
    </row>
    <row r="517">
      <c r="B517" s="37"/>
      <c r="C517" s="37"/>
    </row>
    <row r="518">
      <c r="B518" s="37"/>
      <c r="C518" s="37"/>
    </row>
    <row r="519">
      <c r="B519" s="37"/>
      <c r="C519" s="37"/>
    </row>
    <row r="520">
      <c r="B520" s="37"/>
      <c r="C520" s="37"/>
    </row>
    <row r="521">
      <c r="B521" s="37"/>
      <c r="C521" s="37"/>
    </row>
    <row r="522">
      <c r="B522" s="37"/>
      <c r="C522" s="37"/>
    </row>
    <row r="523">
      <c r="B523" s="37"/>
      <c r="C523" s="37"/>
    </row>
    <row r="524">
      <c r="B524" s="37"/>
      <c r="C524" s="37"/>
    </row>
    <row r="525">
      <c r="B525" s="37"/>
      <c r="C525" s="37"/>
    </row>
    <row r="526">
      <c r="B526" s="37"/>
      <c r="C526" s="37"/>
    </row>
    <row r="527">
      <c r="B527" s="37"/>
      <c r="C527" s="37"/>
    </row>
    <row r="528">
      <c r="B528" s="37"/>
      <c r="C528" s="37"/>
    </row>
    <row r="529">
      <c r="B529" s="37"/>
      <c r="C529" s="37"/>
    </row>
    <row r="530">
      <c r="B530" s="37"/>
      <c r="C530" s="37"/>
    </row>
    <row r="531">
      <c r="B531" s="37"/>
      <c r="C531" s="37"/>
    </row>
    <row r="532">
      <c r="B532" s="37"/>
      <c r="C532" s="37"/>
    </row>
    <row r="533">
      <c r="B533" s="37"/>
      <c r="C533" s="37"/>
    </row>
    <row r="534">
      <c r="B534" s="37"/>
      <c r="C534" s="37"/>
    </row>
    <row r="535">
      <c r="B535" s="37"/>
      <c r="C535" s="37"/>
    </row>
    <row r="536">
      <c r="B536" s="37"/>
      <c r="C536" s="37"/>
    </row>
    <row r="537">
      <c r="B537" s="37"/>
      <c r="C537" s="37"/>
    </row>
    <row r="538">
      <c r="B538" s="37"/>
      <c r="C538" s="37"/>
    </row>
    <row r="539">
      <c r="B539" s="37"/>
      <c r="C539" s="37"/>
    </row>
    <row r="540">
      <c r="B540" s="37"/>
      <c r="C540" s="37"/>
    </row>
    <row r="541">
      <c r="B541" s="37"/>
      <c r="C541" s="37"/>
    </row>
    <row r="542">
      <c r="B542" s="37"/>
      <c r="C542" s="37"/>
    </row>
    <row r="543">
      <c r="B543" s="37"/>
      <c r="C543" s="37"/>
    </row>
    <row r="544">
      <c r="B544" s="37"/>
      <c r="C544" s="37"/>
    </row>
    <row r="545">
      <c r="B545" s="37"/>
      <c r="C545" s="37"/>
    </row>
    <row r="546">
      <c r="B546" s="37"/>
      <c r="C546" s="37"/>
    </row>
    <row r="547">
      <c r="B547" s="37"/>
      <c r="C547" s="37"/>
    </row>
    <row r="548">
      <c r="B548" s="37"/>
      <c r="C548" s="37"/>
    </row>
    <row r="549">
      <c r="B549" s="37"/>
      <c r="C549" s="37"/>
    </row>
    <row r="550">
      <c r="B550" s="37"/>
      <c r="C550" s="37"/>
    </row>
    <row r="551">
      <c r="B551" s="37"/>
      <c r="C551" s="37"/>
    </row>
    <row r="552">
      <c r="B552" s="37"/>
      <c r="C552" s="37"/>
    </row>
    <row r="553">
      <c r="B553" s="37"/>
      <c r="C553" s="37"/>
    </row>
    <row r="554">
      <c r="B554" s="37"/>
      <c r="C554" s="37"/>
    </row>
    <row r="555">
      <c r="B555" s="37"/>
      <c r="C555" s="37"/>
    </row>
    <row r="556">
      <c r="B556" s="37"/>
      <c r="C556" s="37"/>
    </row>
    <row r="557">
      <c r="B557" s="37"/>
      <c r="C557" s="37"/>
    </row>
    <row r="558">
      <c r="B558" s="37"/>
      <c r="C558" s="37"/>
    </row>
    <row r="559">
      <c r="B559" s="37"/>
      <c r="C559" s="37"/>
    </row>
    <row r="560">
      <c r="B560" s="37"/>
      <c r="C560" s="37"/>
    </row>
    <row r="561">
      <c r="B561" s="37"/>
      <c r="C561" s="37"/>
    </row>
    <row r="562">
      <c r="B562" s="37"/>
      <c r="C562" s="37"/>
    </row>
    <row r="563">
      <c r="B563" s="37"/>
      <c r="C563" s="37"/>
    </row>
    <row r="564">
      <c r="B564" s="37"/>
      <c r="C564" s="37"/>
    </row>
    <row r="565">
      <c r="B565" s="37"/>
      <c r="C565" s="37"/>
    </row>
    <row r="566">
      <c r="B566" s="37"/>
      <c r="C566" s="37"/>
    </row>
    <row r="567">
      <c r="B567" s="37"/>
      <c r="C567" s="37"/>
    </row>
    <row r="568">
      <c r="B568" s="37"/>
      <c r="C568" s="37"/>
    </row>
    <row r="569">
      <c r="B569" s="37"/>
      <c r="C569" s="37"/>
    </row>
    <row r="570">
      <c r="B570" s="37"/>
      <c r="C570" s="37"/>
    </row>
    <row r="571">
      <c r="B571" s="37"/>
      <c r="C571" s="37"/>
    </row>
    <row r="572">
      <c r="B572" s="37"/>
      <c r="C572" s="37"/>
    </row>
    <row r="573">
      <c r="B573" s="37"/>
      <c r="C573" s="37"/>
    </row>
    <row r="574">
      <c r="B574" s="37"/>
      <c r="C574" s="37"/>
    </row>
    <row r="575">
      <c r="B575" s="37"/>
      <c r="C575" s="37"/>
    </row>
    <row r="576">
      <c r="B576" s="37"/>
      <c r="C576" s="37"/>
    </row>
    <row r="577">
      <c r="B577" s="37"/>
      <c r="C577" s="37"/>
    </row>
    <row r="578">
      <c r="B578" s="37"/>
      <c r="C578" s="37"/>
    </row>
    <row r="579">
      <c r="B579" s="37"/>
      <c r="C579" s="37"/>
    </row>
    <row r="580">
      <c r="B580" s="37"/>
      <c r="C580" s="37"/>
    </row>
    <row r="581">
      <c r="B581" s="37"/>
      <c r="C581" s="37"/>
    </row>
    <row r="582">
      <c r="B582" s="37"/>
      <c r="C582" s="37"/>
    </row>
    <row r="583">
      <c r="B583" s="37"/>
      <c r="C583" s="37"/>
    </row>
    <row r="584">
      <c r="B584" s="37"/>
      <c r="C584" s="37"/>
    </row>
    <row r="585">
      <c r="B585" s="37"/>
      <c r="C585" s="37"/>
    </row>
    <row r="586">
      <c r="B586" s="37"/>
      <c r="C586" s="37"/>
    </row>
    <row r="587">
      <c r="B587" s="37"/>
      <c r="C587" s="37"/>
    </row>
    <row r="588">
      <c r="B588" s="37"/>
      <c r="C588" s="37"/>
    </row>
    <row r="589">
      <c r="B589" s="37"/>
      <c r="C589" s="37"/>
    </row>
    <row r="590">
      <c r="B590" s="37"/>
      <c r="C590" s="37"/>
    </row>
    <row r="591">
      <c r="B591" s="37"/>
      <c r="C591" s="37"/>
    </row>
    <row r="592">
      <c r="B592" s="37"/>
      <c r="C592" s="37"/>
    </row>
    <row r="593">
      <c r="B593" s="37"/>
      <c r="C593" s="37"/>
    </row>
    <row r="594">
      <c r="B594" s="37"/>
      <c r="C594" s="37"/>
    </row>
    <row r="595">
      <c r="B595" s="37"/>
      <c r="C595" s="37"/>
    </row>
    <row r="596">
      <c r="B596" s="37"/>
      <c r="C596" s="37"/>
    </row>
    <row r="597">
      <c r="B597" s="37"/>
      <c r="C597" s="37"/>
    </row>
    <row r="598">
      <c r="B598" s="37"/>
      <c r="C598" s="37"/>
    </row>
    <row r="599">
      <c r="B599" s="37"/>
      <c r="C599" s="37"/>
    </row>
    <row r="600">
      <c r="B600" s="37"/>
      <c r="C600" s="37"/>
    </row>
    <row r="601">
      <c r="B601" s="37"/>
      <c r="C601" s="37"/>
    </row>
    <row r="602">
      <c r="B602" s="37"/>
      <c r="C602" s="37"/>
    </row>
    <row r="603">
      <c r="B603" s="37"/>
      <c r="C603" s="37"/>
    </row>
    <row r="604">
      <c r="B604" s="37"/>
      <c r="C604" s="37"/>
    </row>
    <row r="605">
      <c r="B605" s="37"/>
      <c r="C605" s="37"/>
    </row>
    <row r="606">
      <c r="B606" s="37"/>
      <c r="C606" s="37"/>
    </row>
    <row r="607">
      <c r="B607" s="37"/>
      <c r="C607" s="37"/>
    </row>
    <row r="608">
      <c r="B608" s="37"/>
      <c r="C608" s="37"/>
    </row>
    <row r="609">
      <c r="B609" s="37"/>
      <c r="C609" s="37"/>
    </row>
    <row r="610">
      <c r="B610" s="37"/>
      <c r="C610" s="37"/>
    </row>
    <row r="611">
      <c r="B611" s="37"/>
      <c r="C611" s="37"/>
    </row>
    <row r="612">
      <c r="B612" s="37"/>
      <c r="C612" s="37"/>
    </row>
    <row r="613">
      <c r="B613" s="37"/>
      <c r="C613" s="37"/>
    </row>
    <row r="614">
      <c r="B614" s="37"/>
      <c r="C614" s="37"/>
    </row>
    <row r="615">
      <c r="B615" s="37"/>
      <c r="C615" s="37"/>
    </row>
    <row r="616">
      <c r="B616" s="37"/>
      <c r="C616" s="37"/>
    </row>
    <row r="617">
      <c r="B617" s="37"/>
      <c r="C617" s="37"/>
    </row>
    <row r="618">
      <c r="B618" s="37"/>
      <c r="C618" s="37"/>
    </row>
    <row r="619">
      <c r="B619" s="37"/>
      <c r="C619" s="37"/>
    </row>
    <row r="620">
      <c r="B620" s="37"/>
      <c r="C620" s="37"/>
    </row>
    <row r="621">
      <c r="B621" s="37"/>
      <c r="C621" s="37"/>
    </row>
    <row r="622">
      <c r="B622" s="37"/>
      <c r="C622" s="37"/>
    </row>
    <row r="623">
      <c r="B623" s="37"/>
      <c r="C623" s="37"/>
    </row>
    <row r="624">
      <c r="B624" s="37"/>
      <c r="C624" s="37"/>
    </row>
    <row r="625">
      <c r="B625" s="37"/>
      <c r="C625" s="37"/>
    </row>
    <row r="626">
      <c r="B626" s="37"/>
      <c r="C626" s="37"/>
    </row>
    <row r="627">
      <c r="B627" s="37"/>
      <c r="C627" s="37"/>
    </row>
    <row r="628">
      <c r="B628" s="37"/>
      <c r="C628" s="37"/>
    </row>
    <row r="629">
      <c r="B629" s="37"/>
      <c r="C629" s="37"/>
    </row>
    <row r="630">
      <c r="B630" s="37"/>
      <c r="C630" s="37"/>
    </row>
    <row r="631">
      <c r="B631" s="37"/>
      <c r="C631" s="37"/>
    </row>
    <row r="632">
      <c r="B632" s="37"/>
      <c r="C632" s="37"/>
    </row>
    <row r="633">
      <c r="B633" s="37"/>
      <c r="C633" s="37"/>
    </row>
    <row r="634">
      <c r="B634" s="37"/>
      <c r="C634" s="37"/>
    </row>
    <row r="635">
      <c r="B635" s="37"/>
      <c r="C635" s="37"/>
    </row>
    <row r="636">
      <c r="B636" s="37"/>
      <c r="C636" s="37"/>
    </row>
    <row r="637">
      <c r="B637" s="37"/>
      <c r="C637" s="37"/>
    </row>
    <row r="638">
      <c r="B638" s="37"/>
      <c r="C638" s="37"/>
    </row>
    <row r="639">
      <c r="B639" s="37"/>
      <c r="C639" s="37"/>
    </row>
    <row r="640">
      <c r="B640" s="37"/>
      <c r="C640" s="37"/>
    </row>
    <row r="641">
      <c r="B641" s="37"/>
      <c r="C641" s="37"/>
    </row>
    <row r="642">
      <c r="B642" s="37"/>
      <c r="C642" s="37"/>
    </row>
    <row r="643">
      <c r="B643" s="37"/>
      <c r="C643" s="37"/>
    </row>
    <row r="644">
      <c r="B644" s="37"/>
      <c r="C644" s="37"/>
    </row>
    <row r="645">
      <c r="B645" s="37"/>
      <c r="C645" s="37"/>
    </row>
    <row r="646">
      <c r="B646" s="37"/>
      <c r="C646" s="37"/>
    </row>
    <row r="647">
      <c r="B647" s="37"/>
      <c r="C647" s="37"/>
    </row>
    <row r="648">
      <c r="B648" s="37"/>
      <c r="C648" s="37"/>
    </row>
    <row r="649">
      <c r="B649" s="37"/>
      <c r="C649" s="37"/>
    </row>
    <row r="650">
      <c r="B650" s="37"/>
      <c r="C650" s="37"/>
    </row>
    <row r="651">
      <c r="B651" s="37"/>
      <c r="C651" s="37"/>
    </row>
    <row r="652">
      <c r="B652" s="37"/>
      <c r="C652" s="37"/>
    </row>
    <row r="653">
      <c r="B653" s="37"/>
      <c r="C653" s="37"/>
    </row>
    <row r="654">
      <c r="B654" s="37"/>
      <c r="C654" s="37"/>
    </row>
    <row r="655">
      <c r="B655" s="37"/>
      <c r="C655" s="37"/>
    </row>
    <row r="656">
      <c r="B656" s="37"/>
      <c r="C656" s="37"/>
    </row>
    <row r="657">
      <c r="B657" s="37"/>
      <c r="C657" s="37"/>
    </row>
    <row r="658">
      <c r="B658" s="37"/>
      <c r="C658" s="37"/>
    </row>
    <row r="659">
      <c r="B659" s="37"/>
      <c r="C659" s="37"/>
    </row>
    <row r="660">
      <c r="B660" s="37"/>
      <c r="C660" s="37"/>
    </row>
    <row r="661">
      <c r="B661" s="37"/>
      <c r="C661" s="37"/>
    </row>
    <row r="662">
      <c r="B662" s="37"/>
      <c r="C662" s="37"/>
    </row>
    <row r="663">
      <c r="B663" s="37"/>
      <c r="C663" s="37"/>
    </row>
    <row r="664">
      <c r="B664" s="37"/>
      <c r="C664" s="37"/>
    </row>
    <row r="665">
      <c r="B665" s="37"/>
      <c r="C665" s="37"/>
    </row>
    <row r="666">
      <c r="B666" s="37"/>
      <c r="C666" s="37"/>
    </row>
    <row r="667">
      <c r="B667" s="37"/>
      <c r="C667" s="37"/>
    </row>
    <row r="668">
      <c r="B668" s="37"/>
      <c r="C668" s="37"/>
    </row>
    <row r="669">
      <c r="B669" s="37"/>
      <c r="C669" s="37"/>
    </row>
    <row r="670">
      <c r="B670" s="37"/>
      <c r="C670" s="37"/>
    </row>
    <row r="671">
      <c r="B671" s="37"/>
      <c r="C671" s="37"/>
    </row>
    <row r="672">
      <c r="B672" s="37"/>
      <c r="C672" s="37"/>
    </row>
    <row r="673">
      <c r="B673" s="37"/>
      <c r="C673" s="37"/>
    </row>
    <row r="674">
      <c r="B674" s="37"/>
      <c r="C674" s="37"/>
    </row>
    <row r="675">
      <c r="B675" s="37"/>
      <c r="C675" s="37"/>
    </row>
    <row r="676">
      <c r="B676" s="37"/>
      <c r="C676" s="37"/>
    </row>
    <row r="677">
      <c r="B677" s="37"/>
      <c r="C677" s="37"/>
    </row>
    <row r="678">
      <c r="B678" s="37"/>
      <c r="C678" s="37"/>
    </row>
    <row r="679">
      <c r="B679" s="37"/>
      <c r="C679" s="37"/>
    </row>
    <row r="680">
      <c r="B680" s="37"/>
      <c r="C680" s="37"/>
    </row>
    <row r="681">
      <c r="B681" s="37"/>
      <c r="C681" s="37"/>
    </row>
    <row r="682">
      <c r="B682" s="37"/>
      <c r="C682" s="37"/>
    </row>
    <row r="683">
      <c r="B683" s="37"/>
      <c r="C683" s="37"/>
    </row>
    <row r="684">
      <c r="B684" s="37"/>
      <c r="C684" s="37"/>
    </row>
    <row r="685">
      <c r="B685" s="37"/>
      <c r="C685" s="37"/>
    </row>
    <row r="686">
      <c r="B686" s="37"/>
      <c r="C686" s="37"/>
    </row>
    <row r="687">
      <c r="B687" s="37"/>
      <c r="C687" s="37"/>
    </row>
    <row r="688">
      <c r="B688" s="37"/>
      <c r="C688" s="37"/>
    </row>
    <row r="689">
      <c r="B689" s="37"/>
      <c r="C689" s="37"/>
    </row>
    <row r="690">
      <c r="B690" s="37"/>
      <c r="C690" s="37"/>
    </row>
    <row r="691">
      <c r="B691" s="37"/>
      <c r="C691" s="37"/>
    </row>
    <row r="692">
      <c r="B692" s="37"/>
      <c r="C692" s="37"/>
    </row>
    <row r="693">
      <c r="B693" s="37"/>
      <c r="C693" s="37"/>
    </row>
    <row r="694">
      <c r="B694" s="37"/>
      <c r="C694" s="37"/>
    </row>
    <row r="695">
      <c r="B695" s="37"/>
      <c r="C695" s="37"/>
    </row>
    <row r="696">
      <c r="B696" s="37"/>
      <c r="C696" s="37"/>
    </row>
    <row r="697">
      <c r="B697" s="37"/>
      <c r="C697" s="37"/>
    </row>
    <row r="698">
      <c r="B698" s="37"/>
      <c r="C698" s="37"/>
    </row>
    <row r="699">
      <c r="B699" s="37"/>
      <c r="C699" s="37"/>
    </row>
    <row r="700">
      <c r="B700" s="37"/>
      <c r="C700" s="37"/>
    </row>
    <row r="701">
      <c r="B701" s="37"/>
      <c r="C701" s="37"/>
    </row>
    <row r="702">
      <c r="B702" s="37"/>
      <c r="C702" s="37"/>
    </row>
    <row r="703">
      <c r="B703" s="37"/>
      <c r="C703" s="37"/>
    </row>
    <row r="704">
      <c r="B704" s="37"/>
      <c r="C704" s="37"/>
    </row>
    <row r="705">
      <c r="B705" s="37"/>
      <c r="C705" s="37"/>
    </row>
    <row r="706">
      <c r="B706" s="37"/>
      <c r="C706" s="37"/>
    </row>
    <row r="707">
      <c r="B707" s="37"/>
      <c r="C707" s="37"/>
    </row>
    <row r="708">
      <c r="B708" s="37"/>
      <c r="C708" s="37"/>
    </row>
    <row r="709">
      <c r="B709" s="37"/>
      <c r="C709" s="37"/>
    </row>
    <row r="710">
      <c r="B710" s="37"/>
      <c r="C710" s="37"/>
    </row>
    <row r="711">
      <c r="B711" s="37"/>
      <c r="C711" s="37"/>
    </row>
    <row r="712">
      <c r="B712" s="37"/>
      <c r="C712" s="37"/>
    </row>
    <row r="713">
      <c r="B713" s="37"/>
      <c r="C713" s="37"/>
    </row>
    <row r="714">
      <c r="B714" s="37"/>
      <c r="C714" s="37"/>
    </row>
    <row r="715">
      <c r="B715" s="37"/>
      <c r="C715" s="37"/>
    </row>
    <row r="716">
      <c r="B716" s="37"/>
      <c r="C716" s="37"/>
    </row>
    <row r="717">
      <c r="B717" s="37"/>
      <c r="C717" s="37"/>
    </row>
    <row r="718">
      <c r="B718" s="37"/>
      <c r="C718" s="37"/>
    </row>
    <row r="719">
      <c r="B719" s="37"/>
      <c r="C719" s="37"/>
    </row>
    <row r="720">
      <c r="B720" s="37"/>
      <c r="C720" s="37"/>
    </row>
    <row r="721">
      <c r="B721" s="37"/>
      <c r="C721" s="37"/>
    </row>
    <row r="722">
      <c r="B722" s="37"/>
      <c r="C722" s="37"/>
    </row>
    <row r="723">
      <c r="B723" s="37"/>
      <c r="C723" s="37"/>
    </row>
    <row r="724">
      <c r="B724" s="37"/>
      <c r="C724" s="37"/>
    </row>
    <row r="725">
      <c r="B725" s="37"/>
      <c r="C725" s="37"/>
    </row>
    <row r="726">
      <c r="B726" s="37"/>
      <c r="C726" s="37"/>
    </row>
    <row r="727">
      <c r="B727" s="37"/>
      <c r="C727" s="37"/>
    </row>
    <row r="728">
      <c r="B728" s="37"/>
      <c r="C728" s="37"/>
    </row>
    <row r="729">
      <c r="B729" s="37"/>
      <c r="C729" s="37"/>
    </row>
    <row r="730">
      <c r="B730" s="37"/>
      <c r="C730" s="37"/>
    </row>
    <row r="731">
      <c r="B731" s="37"/>
      <c r="C731" s="37"/>
    </row>
    <row r="732">
      <c r="B732" s="37"/>
      <c r="C732" s="37"/>
    </row>
    <row r="733">
      <c r="B733" s="37"/>
      <c r="C733" s="37"/>
    </row>
    <row r="734">
      <c r="B734" s="37"/>
      <c r="C734" s="37"/>
    </row>
    <row r="735">
      <c r="B735" s="37"/>
      <c r="C735" s="37"/>
    </row>
    <row r="736">
      <c r="B736" s="37"/>
      <c r="C736" s="37"/>
    </row>
    <row r="737">
      <c r="B737" s="37"/>
      <c r="C737" s="37"/>
    </row>
    <row r="738">
      <c r="B738" s="37"/>
      <c r="C738" s="37"/>
    </row>
    <row r="739">
      <c r="B739" s="37"/>
      <c r="C739" s="37"/>
    </row>
    <row r="740">
      <c r="B740" s="37"/>
      <c r="C740" s="37"/>
    </row>
    <row r="741">
      <c r="B741" s="37"/>
      <c r="C741" s="37"/>
    </row>
    <row r="742">
      <c r="B742" s="37"/>
      <c r="C742" s="37"/>
    </row>
    <row r="743">
      <c r="B743" s="37"/>
      <c r="C743" s="37"/>
    </row>
    <row r="744">
      <c r="B744" s="37"/>
      <c r="C744" s="37"/>
    </row>
    <row r="745">
      <c r="B745" s="37"/>
      <c r="C745" s="37"/>
    </row>
    <row r="746">
      <c r="B746" s="37"/>
      <c r="C746" s="37"/>
    </row>
    <row r="747">
      <c r="B747" s="37"/>
      <c r="C747" s="37"/>
    </row>
    <row r="748">
      <c r="B748" s="37"/>
      <c r="C748" s="37"/>
    </row>
    <row r="749">
      <c r="B749" s="37"/>
      <c r="C749" s="37"/>
    </row>
    <row r="750">
      <c r="B750" s="37"/>
      <c r="C750" s="37"/>
    </row>
    <row r="751">
      <c r="B751" s="37"/>
      <c r="C751" s="37"/>
    </row>
    <row r="752">
      <c r="B752" s="37"/>
      <c r="C752" s="37"/>
    </row>
    <row r="753">
      <c r="B753" s="37"/>
      <c r="C753" s="37"/>
    </row>
    <row r="754">
      <c r="B754" s="37"/>
      <c r="C754" s="37"/>
    </row>
    <row r="755">
      <c r="B755" s="37"/>
      <c r="C755" s="37"/>
    </row>
    <row r="756">
      <c r="B756" s="37"/>
      <c r="C756" s="37"/>
    </row>
    <row r="757">
      <c r="B757" s="37"/>
      <c r="C757" s="37"/>
    </row>
    <row r="758">
      <c r="B758" s="37"/>
      <c r="C758" s="37"/>
    </row>
    <row r="759">
      <c r="B759" s="37"/>
      <c r="C759" s="37"/>
    </row>
    <row r="760">
      <c r="B760" s="37"/>
      <c r="C760" s="37"/>
    </row>
    <row r="761">
      <c r="B761" s="37"/>
      <c r="C761" s="37"/>
    </row>
    <row r="762">
      <c r="B762" s="37"/>
      <c r="C762" s="37"/>
    </row>
    <row r="763">
      <c r="B763" s="37"/>
      <c r="C763" s="37"/>
    </row>
    <row r="764">
      <c r="B764" s="37"/>
      <c r="C764" s="37"/>
    </row>
    <row r="765">
      <c r="B765" s="37"/>
      <c r="C765" s="37"/>
    </row>
    <row r="766">
      <c r="B766" s="37"/>
      <c r="C766" s="37"/>
    </row>
    <row r="767">
      <c r="B767" s="37"/>
      <c r="C767" s="37"/>
    </row>
    <row r="768">
      <c r="B768" s="37"/>
      <c r="C768" s="37"/>
    </row>
    <row r="769">
      <c r="B769" s="37"/>
      <c r="C769" s="37"/>
    </row>
    <row r="770">
      <c r="B770" s="37"/>
      <c r="C770" s="37"/>
    </row>
    <row r="771">
      <c r="B771" s="37"/>
      <c r="C771" s="37"/>
    </row>
    <row r="772">
      <c r="B772" s="37"/>
      <c r="C772" s="37"/>
    </row>
    <row r="773">
      <c r="B773" s="37"/>
      <c r="C773" s="37"/>
    </row>
    <row r="774">
      <c r="B774" s="37"/>
      <c r="C774" s="37"/>
    </row>
    <row r="775">
      <c r="B775" s="37"/>
      <c r="C775" s="37"/>
    </row>
    <row r="776">
      <c r="B776" s="37"/>
      <c r="C776" s="37"/>
    </row>
    <row r="777">
      <c r="B777" s="37"/>
      <c r="C777" s="37"/>
    </row>
    <row r="778">
      <c r="B778" s="37"/>
      <c r="C778" s="37"/>
    </row>
    <row r="779">
      <c r="B779" s="37"/>
      <c r="C779" s="37"/>
    </row>
    <row r="780">
      <c r="B780" s="37"/>
      <c r="C780" s="37"/>
    </row>
    <row r="781">
      <c r="B781" s="37"/>
      <c r="C781" s="37"/>
    </row>
    <row r="782">
      <c r="B782" s="37"/>
      <c r="C782" s="37"/>
    </row>
    <row r="783">
      <c r="B783" s="37"/>
      <c r="C783" s="37"/>
    </row>
    <row r="784">
      <c r="B784" s="37"/>
      <c r="C784" s="37"/>
    </row>
    <row r="785">
      <c r="B785" s="37"/>
      <c r="C785" s="37"/>
    </row>
    <row r="786">
      <c r="B786" s="37"/>
      <c r="C786" s="37"/>
    </row>
    <row r="787">
      <c r="B787" s="37"/>
      <c r="C787" s="37"/>
    </row>
    <row r="788">
      <c r="B788" s="37"/>
      <c r="C788" s="37"/>
    </row>
    <row r="789">
      <c r="B789" s="37"/>
      <c r="C789" s="37"/>
    </row>
    <row r="790">
      <c r="B790" s="37"/>
      <c r="C790" s="37"/>
    </row>
    <row r="791">
      <c r="B791" s="37"/>
      <c r="C791" s="37"/>
    </row>
    <row r="792">
      <c r="B792" s="37"/>
      <c r="C792" s="37"/>
    </row>
    <row r="793">
      <c r="B793" s="37"/>
      <c r="C793" s="37"/>
    </row>
    <row r="794">
      <c r="B794" s="37"/>
      <c r="C794" s="37"/>
    </row>
    <row r="795">
      <c r="B795" s="37"/>
      <c r="C795" s="37"/>
    </row>
    <row r="796">
      <c r="B796" s="37"/>
      <c r="C796" s="37"/>
    </row>
    <row r="797">
      <c r="B797" s="37"/>
      <c r="C797" s="37"/>
    </row>
    <row r="798">
      <c r="B798" s="37"/>
      <c r="C798" s="37"/>
    </row>
    <row r="799">
      <c r="B799" s="37"/>
      <c r="C799" s="37"/>
    </row>
    <row r="800">
      <c r="B800" s="37"/>
      <c r="C800" s="37"/>
    </row>
    <row r="801">
      <c r="B801" s="37"/>
      <c r="C801" s="37"/>
    </row>
    <row r="802">
      <c r="B802" s="37"/>
      <c r="C802" s="37"/>
    </row>
    <row r="803">
      <c r="B803" s="37"/>
      <c r="C803" s="37"/>
    </row>
    <row r="804">
      <c r="B804" s="37"/>
      <c r="C804" s="37"/>
    </row>
    <row r="805">
      <c r="B805" s="37"/>
      <c r="C805" s="37"/>
    </row>
    <row r="806">
      <c r="B806" s="37"/>
      <c r="C806" s="37"/>
    </row>
    <row r="807">
      <c r="B807" s="37"/>
      <c r="C807" s="37"/>
    </row>
    <row r="808">
      <c r="B808" s="37"/>
      <c r="C808" s="37"/>
    </row>
    <row r="809">
      <c r="B809" s="37"/>
      <c r="C809" s="37"/>
    </row>
    <row r="810">
      <c r="B810" s="37"/>
      <c r="C810" s="37"/>
    </row>
    <row r="811">
      <c r="B811" s="37"/>
      <c r="C811" s="37"/>
    </row>
    <row r="812">
      <c r="B812" s="37"/>
      <c r="C812" s="37"/>
    </row>
    <row r="813">
      <c r="B813" s="37"/>
      <c r="C813" s="37"/>
    </row>
    <row r="814">
      <c r="B814" s="37"/>
      <c r="C814" s="37"/>
    </row>
    <row r="815">
      <c r="B815" s="37"/>
      <c r="C815" s="37"/>
    </row>
    <row r="816">
      <c r="B816" s="37"/>
      <c r="C816" s="37"/>
    </row>
    <row r="817">
      <c r="B817" s="37"/>
      <c r="C817" s="37"/>
    </row>
    <row r="818">
      <c r="B818" s="37"/>
      <c r="C818" s="37"/>
    </row>
    <row r="819">
      <c r="B819" s="37"/>
      <c r="C819" s="37"/>
    </row>
    <row r="820">
      <c r="B820" s="37"/>
      <c r="C820" s="37"/>
    </row>
    <row r="821">
      <c r="B821" s="37"/>
      <c r="C821" s="37"/>
    </row>
    <row r="822">
      <c r="B822" s="37"/>
      <c r="C822" s="37"/>
    </row>
    <row r="823">
      <c r="B823" s="37"/>
      <c r="C823" s="37"/>
    </row>
    <row r="824">
      <c r="B824" s="37"/>
      <c r="C824" s="37"/>
    </row>
    <row r="825">
      <c r="B825" s="37"/>
      <c r="C825" s="37"/>
    </row>
    <row r="826">
      <c r="B826" s="37"/>
      <c r="C826" s="37"/>
    </row>
    <row r="827">
      <c r="B827" s="37"/>
      <c r="C827" s="37"/>
    </row>
    <row r="828">
      <c r="B828" s="37"/>
      <c r="C828" s="37"/>
    </row>
    <row r="829">
      <c r="B829" s="37"/>
      <c r="C829" s="37"/>
    </row>
    <row r="830">
      <c r="B830" s="37"/>
      <c r="C830" s="37"/>
    </row>
    <row r="831">
      <c r="B831" s="37"/>
      <c r="C831" s="37"/>
    </row>
    <row r="832">
      <c r="B832" s="37"/>
      <c r="C832" s="37"/>
    </row>
    <row r="833">
      <c r="B833" s="37"/>
      <c r="C833" s="37"/>
    </row>
    <row r="834">
      <c r="B834" s="37"/>
      <c r="C834" s="37"/>
    </row>
    <row r="835">
      <c r="B835" s="37"/>
      <c r="C835" s="37"/>
    </row>
    <row r="836">
      <c r="B836" s="37"/>
      <c r="C836" s="37"/>
    </row>
    <row r="837">
      <c r="B837" s="37"/>
      <c r="C837" s="37"/>
    </row>
    <row r="838">
      <c r="B838" s="37"/>
      <c r="C838" s="37"/>
    </row>
    <row r="839">
      <c r="B839" s="37"/>
      <c r="C839" s="37"/>
    </row>
    <row r="840">
      <c r="B840" s="37"/>
      <c r="C840" s="37"/>
    </row>
    <row r="841">
      <c r="B841" s="37"/>
      <c r="C841" s="37"/>
    </row>
    <row r="842">
      <c r="B842" s="37"/>
      <c r="C842" s="37"/>
    </row>
    <row r="843">
      <c r="B843" s="37"/>
      <c r="C843" s="37"/>
    </row>
    <row r="844">
      <c r="B844" s="37"/>
      <c r="C844" s="37"/>
    </row>
    <row r="845">
      <c r="B845" s="37"/>
      <c r="C845" s="37"/>
    </row>
    <row r="846">
      <c r="B846" s="37"/>
      <c r="C846" s="37"/>
    </row>
    <row r="847">
      <c r="B847" s="37"/>
      <c r="C847" s="37"/>
    </row>
    <row r="848">
      <c r="B848" s="37"/>
      <c r="C848" s="37"/>
    </row>
    <row r="849">
      <c r="B849" s="37"/>
      <c r="C849" s="37"/>
    </row>
    <row r="850">
      <c r="B850" s="37"/>
      <c r="C850" s="37"/>
    </row>
    <row r="851">
      <c r="B851" s="37"/>
      <c r="C851" s="37"/>
    </row>
    <row r="852">
      <c r="B852" s="37"/>
      <c r="C852" s="37"/>
    </row>
    <row r="853">
      <c r="B853" s="37"/>
      <c r="C853" s="37"/>
    </row>
    <row r="854">
      <c r="B854" s="37"/>
      <c r="C854" s="37"/>
    </row>
    <row r="855">
      <c r="B855" s="37"/>
      <c r="C855" s="37"/>
    </row>
    <row r="856">
      <c r="B856" s="37"/>
      <c r="C856" s="37"/>
    </row>
    <row r="857">
      <c r="B857" s="37"/>
      <c r="C857" s="37"/>
    </row>
    <row r="858">
      <c r="B858" s="37"/>
      <c r="C858" s="37"/>
    </row>
    <row r="859">
      <c r="B859" s="37"/>
      <c r="C859" s="37"/>
    </row>
    <row r="860">
      <c r="B860" s="37"/>
      <c r="C860" s="37"/>
    </row>
    <row r="861">
      <c r="B861" s="37"/>
      <c r="C861" s="37"/>
    </row>
    <row r="862">
      <c r="B862" s="37"/>
      <c r="C862" s="37"/>
    </row>
    <row r="863">
      <c r="B863" s="37"/>
      <c r="C863" s="37"/>
    </row>
    <row r="864">
      <c r="B864" s="37"/>
      <c r="C864" s="37"/>
    </row>
    <row r="865">
      <c r="B865" s="37"/>
      <c r="C865" s="37"/>
    </row>
    <row r="866">
      <c r="B866" s="37"/>
      <c r="C866" s="37"/>
    </row>
    <row r="867">
      <c r="B867" s="37"/>
      <c r="C867" s="37"/>
    </row>
    <row r="868">
      <c r="B868" s="37"/>
      <c r="C868" s="37"/>
    </row>
    <row r="869">
      <c r="B869" s="37"/>
      <c r="C869" s="37"/>
    </row>
    <row r="870">
      <c r="B870" s="37"/>
      <c r="C870" s="37"/>
    </row>
    <row r="871">
      <c r="B871" s="37"/>
      <c r="C871" s="37"/>
    </row>
    <row r="872">
      <c r="B872" s="37"/>
      <c r="C872" s="37"/>
    </row>
    <row r="873">
      <c r="B873" s="37"/>
      <c r="C873" s="37"/>
    </row>
    <row r="874">
      <c r="B874" s="37"/>
      <c r="C874" s="37"/>
    </row>
    <row r="875">
      <c r="B875" s="37"/>
      <c r="C875" s="37"/>
    </row>
    <row r="876">
      <c r="B876" s="37"/>
      <c r="C876" s="37"/>
    </row>
    <row r="877">
      <c r="B877" s="37"/>
      <c r="C877" s="37"/>
    </row>
    <row r="878">
      <c r="B878" s="37"/>
      <c r="C878" s="37"/>
    </row>
    <row r="879">
      <c r="B879" s="37"/>
      <c r="C879" s="37"/>
    </row>
    <row r="880">
      <c r="B880" s="37"/>
      <c r="C880" s="37"/>
    </row>
    <row r="881">
      <c r="B881" s="37"/>
      <c r="C881" s="37"/>
    </row>
    <row r="882">
      <c r="B882" s="37"/>
      <c r="C882" s="37"/>
    </row>
    <row r="883">
      <c r="B883" s="37"/>
      <c r="C883" s="37"/>
    </row>
    <row r="884">
      <c r="B884" s="37"/>
      <c r="C884" s="37"/>
    </row>
    <row r="885">
      <c r="B885" s="37"/>
      <c r="C885" s="37"/>
    </row>
    <row r="886">
      <c r="B886" s="37"/>
      <c r="C886" s="37"/>
    </row>
    <row r="887">
      <c r="B887" s="37"/>
      <c r="C887" s="37"/>
    </row>
    <row r="888">
      <c r="B888" s="37"/>
      <c r="C888" s="37"/>
    </row>
    <row r="889">
      <c r="B889" s="37"/>
      <c r="C889" s="37"/>
    </row>
    <row r="890">
      <c r="B890" s="37"/>
      <c r="C890" s="37"/>
    </row>
    <row r="891">
      <c r="B891" s="37"/>
      <c r="C891" s="37"/>
    </row>
    <row r="892">
      <c r="B892" s="37"/>
      <c r="C892" s="37"/>
    </row>
    <row r="893">
      <c r="B893" s="37"/>
      <c r="C893" s="37"/>
    </row>
    <row r="894">
      <c r="B894" s="37"/>
      <c r="C894" s="37"/>
    </row>
    <row r="895">
      <c r="B895" s="37"/>
      <c r="C895" s="37"/>
    </row>
    <row r="896">
      <c r="B896" s="37"/>
      <c r="C896" s="37"/>
    </row>
    <row r="897">
      <c r="B897" s="37"/>
      <c r="C897" s="37"/>
    </row>
    <row r="898">
      <c r="B898" s="37"/>
      <c r="C898" s="37"/>
    </row>
    <row r="899">
      <c r="B899" s="37"/>
      <c r="C899" s="37"/>
    </row>
    <row r="900">
      <c r="B900" s="37"/>
      <c r="C900" s="37"/>
    </row>
    <row r="901">
      <c r="B901" s="37"/>
      <c r="C901" s="37"/>
    </row>
    <row r="902">
      <c r="B902" s="37"/>
      <c r="C902" s="37"/>
    </row>
    <row r="903">
      <c r="B903" s="37"/>
      <c r="C903" s="37"/>
    </row>
    <row r="904">
      <c r="B904" s="37"/>
      <c r="C904" s="37"/>
    </row>
    <row r="905">
      <c r="B905" s="37"/>
      <c r="C905" s="37"/>
    </row>
    <row r="906">
      <c r="B906" s="37"/>
      <c r="C906" s="37"/>
    </row>
    <row r="907">
      <c r="B907" s="37"/>
      <c r="C907" s="37"/>
    </row>
    <row r="908">
      <c r="B908" s="37"/>
      <c r="C908" s="37"/>
    </row>
    <row r="909">
      <c r="B909" s="37"/>
      <c r="C909" s="37"/>
    </row>
    <row r="910">
      <c r="B910" s="37"/>
      <c r="C910" s="37"/>
    </row>
    <row r="911">
      <c r="B911" s="37"/>
      <c r="C911" s="37"/>
    </row>
  </sheetData>
  <mergeCells count="2">
    <mergeCell ref="A1:A2"/>
    <mergeCell ref="B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34.38"/>
    <col customWidth="1" min="2" max="3" width="9.25"/>
  </cols>
  <sheetData>
    <row r="1">
      <c r="A1" s="16" t="s">
        <v>186</v>
      </c>
      <c r="B1" s="38">
        <v>2024.0</v>
      </c>
      <c r="C1" s="18"/>
      <c r="D1" s="19"/>
    </row>
    <row r="2">
      <c r="A2" s="20"/>
      <c r="B2" s="39" t="s">
        <v>187</v>
      </c>
      <c r="C2" s="39" t="s">
        <v>188</v>
      </c>
      <c r="D2" s="19"/>
    </row>
    <row r="3" ht="9.75" customHeight="1">
      <c r="A3" s="40" t="s">
        <v>5</v>
      </c>
      <c r="B3" s="41"/>
      <c r="C3" s="42"/>
      <c r="D3" s="19"/>
    </row>
    <row r="4" ht="9.75" customHeight="1">
      <c r="A4" s="43" t="s">
        <v>4</v>
      </c>
      <c r="B4" s="44">
        <v>1104644.0</v>
      </c>
      <c r="C4" s="45">
        <v>1066048.0</v>
      </c>
      <c r="D4" s="19"/>
    </row>
    <row r="5" ht="9.75" customHeight="1">
      <c r="A5" s="43" t="s">
        <v>7</v>
      </c>
      <c r="B5" s="44">
        <v>39734.0</v>
      </c>
      <c r="C5" s="45">
        <v>37442.0</v>
      </c>
      <c r="D5" s="19"/>
    </row>
    <row r="6" ht="9.75" customHeight="1">
      <c r="A6" s="43" t="s">
        <v>9</v>
      </c>
      <c r="B6" s="44">
        <v>103200.0</v>
      </c>
      <c r="C6" s="45">
        <v>102053.0</v>
      </c>
      <c r="D6" s="19"/>
    </row>
    <row r="7" ht="9.75" customHeight="1">
      <c r="A7" s="43" t="s">
        <v>11</v>
      </c>
      <c r="B7" s="44">
        <v>562151.0</v>
      </c>
      <c r="C7" s="45">
        <v>579616.0</v>
      </c>
      <c r="D7" s="19"/>
    </row>
    <row r="8" ht="9.75" customHeight="1">
      <c r="A8" s="43" t="s">
        <v>13</v>
      </c>
      <c r="B8" s="44">
        <v>351543.0</v>
      </c>
      <c r="C8" s="45">
        <v>325914.0</v>
      </c>
      <c r="D8" s="19"/>
    </row>
    <row r="9" ht="9.75" customHeight="1">
      <c r="A9" s="43" t="s">
        <v>15</v>
      </c>
      <c r="B9" s="44">
        <v>389683.0</v>
      </c>
      <c r="C9" s="45">
        <v>380527.0</v>
      </c>
      <c r="D9" s="19"/>
    </row>
    <row r="10" ht="9.75" customHeight="1">
      <c r="A10" s="43" t="s">
        <v>17</v>
      </c>
      <c r="B10" s="44">
        <v>531017.0</v>
      </c>
      <c r="C10" s="45">
        <v>537703.0</v>
      </c>
      <c r="D10" s="19"/>
    </row>
    <row r="11" ht="9.75" customHeight="1">
      <c r="A11" s="43" t="s">
        <v>19</v>
      </c>
      <c r="B11" s="44">
        <v>130592.0</v>
      </c>
      <c r="C11" s="45">
        <v>128010.0</v>
      </c>
      <c r="D11" s="19"/>
    </row>
    <row r="12" ht="9.75" customHeight="1">
      <c r="A12" s="43" t="s">
        <v>21</v>
      </c>
      <c r="B12" s="44">
        <v>1199330.0</v>
      </c>
      <c r="C12" s="45">
        <v>1244571.0</v>
      </c>
      <c r="D12" s="19"/>
    </row>
    <row r="13" ht="9.75" customHeight="1">
      <c r="A13" s="43" t="s">
        <v>23</v>
      </c>
      <c r="B13" s="46">
        <v>846313.0</v>
      </c>
      <c r="C13" s="45">
        <v>843995.0</v>
      </c>
      <c r="D13" s="19"/>
    </row>
    <row r="14" ht="9.75" customHeight="1">
      <c r="A14" s="21" t="s">
        <v>199</v>
      </c>
      <c r="B14" s="39">
        <v>5258206.0</v>
      </c>
      <c r="C14" s="39">
        <v>5245881.0</v>
      </c>
      <c r="D14" s="19"/>
    </row>
    <row r="15" ht="9.75" customHeight="1">
      <c r="A15" s="47" t="s">
        <v>26</v>
      </c>
      <c r="B15" s="41"/>
      <c r="C15" s="48"/>
      <c r="D15" s="19"/>
    </row>
    <row r="16" ht="9.75" customHeight="1">
      <c r="A16" s="43" t="s">
        <v>25</v>
      </c>
      <c r="B16" s="44">
        <v>86725.0</v>
      </c>
      <c r="C16" s="45">
        <v>85084.0</v>
      </c>
      <c r="D16" s="19"/>
    </row>
    <row r="17" ht="9.75" customHeight="1">
      <c r="A17" s="43" t="s">
        <v>28</v>
      </c>
      <c r="B17" s="44">
        <v>78919.0</v>
      </c>
      <c r="C17" s="45">
        <v>76939.0</v>
      </c>
      <c r="D17" s="19"/>
    </row>
    <row r="18" ht="9.75" customHeight="1">
      <c r="A18" s="43" t="s">
        <v>30</v>
      </c>
      <c r="B18" s="44">
        <v>6653.0</v>
      </c>
      <c r="C18" s="45">
        <v>6112.0</v>
      </c>
      <c r="D18" s="19"/>
    </row>
    <row r="19" ht="9.75" customHeight="1">
      <c r="A19" s="43" t="s">
        <v>32</v>
      </c>
      <c r="B19" s="44">
        <v>23240.0</v>
      </c>
      <c r="C19" s="45">
        <v>22785.0</v>
      </c>
      <c r="D19" s="19"/>
    </row>
    <row r="20" ht="9.75" customHeight="1">
      <c r="A20" s="43" t="s">
        <v>34</v>
      </c>
      <c r="B20" s="44">
        <v>11882.0</v>
      </c>
      <c r="C20" s="45">
        <v>7979.0</v>
      </c>
      <c r="D20" s="19"/>
    </row>
    <row r="21" ht="9.75" customHeight="1">
      <c r="A21" s="43" t="s">
        <v>36</v>
      </c>
      <c r="B21" s="44">
        <v>482965.0</v>
      </c>
      <c r="C21" s="45">
        <v>500696.0</v>
      </c>
      <c r="D21" s="19"/>
    </row>
    <row r="22" ht="9.75" customHeight="1">
      <c r="A22" s="21" t="s">
        <v>200</v>
      </c>
      <c r="B22" s="39">
        <v>690384.0</v>
      </c>
      <c r="C22" s="39">
        <v>699594.0</v>
      </c>
      <c r="D22" s="19"/>
    </row>
    <row r="23" ht="9.75" customHeight="1">
      <c r="A23" s="47" t="s">
        <v>39</v>
      </c>
      <c r="B23" s="49"/>
      <c r="C23" s="48"/>
      <c r="D23" s="19"/>
    </row>
    <row r="24" ht="9.75" customHeight="1">
      <c r="A24" s="43" t="s">
        <v>38</v>
      </c>
      <c r="B24" s="44">
        <v>75039.0</v>
      </c>
      <c r="C24" s="45">
        <v>73246.0</v>
      </c>
      <c r="D24" s="19"/>
    </row>
    <row r="25" ht="9.75" customHeight="1">
      <c r="A25" s="43" t="s">
        <v>41</v>
      </c>
      <c r="B25" s="44">
        <v>82676.0</v>
      </c>
      <c r="C25" s="45">
        <v>67258.0</v>
      </c>
      <c r="D25" s="19"/>
    </row>
    <row r="26" ht="9.75" customHeight="1">
      <c r="A26" s="43" t="s">
        <v>43</v>
      </c>
      <c r="B26" s="44">
        <v>774845.0</v>
      </c>
      <c r="C26" s="45">
        <v>747511.0</v>
      </c>
      <c r="D26" s="19"/>
    </row>
    <row r="27" ht="9.75" customHeight="1">
      <c r="A27" s="43" t="s">
        <v>45</v>
      </c>
      <c r="B27" s="44">
        <v>11322.0</v>
      </c>
      <c r="C27" s="45">
        <v>8280.0</v>
      </c>
      <c r="D27" s="19"/>
    </row>
    <row r="28" ht="9.75" customHeight="1">
      <c r="A28" s="21" t="s">
        <v>201</v>
      </c>
      <c r="B28" s="39">
        <v>943881.0</v>
      </c>
      <c r="C28" s="39">
        <v>896295.0</v>
      </c>
      <c r="D28" s="19"/>
    </row>
    <row r="29" ht="9.75" customHeight="1">
      <c r="A29" s="47" t="s">
        <v>48</v>
      </c>
      <c r="B29" s="49"/>
      <c r="C29" s="48"/>
      <c r="D29" s="19"/>
    </row>
    <row r="30" ht="9.75" customHeight="1">
      <c r="A30" s="43" t="s">
        <v>47</v>
      </c>
      <c r="B30" s="44">
        <v>219421.0</v>
      </c>
      <c r="C30" s="45">
        <v>225783.0</v>
      </c>
      <c r="D30" s="19"/>
    </row>
    <row r="31" ht="9.75" customHeight="1">
      <c r="A31" s="43" t="s">
        <v>50</v>
      </c>
      <c r="B31" s="44">
        <v>24874.0</v>
      </c>
      <c r="C31" s="45">
        <v>24392.0</v>
      </c>
      <c r="D31" s="19"/>
    </row>
    <row r="32" ht="9.75" customHeight="1">
      <c r="A32" s="43" t="s">
        <v>52</v>
      </c>
      <c r="B32" s="44">
        <v>22478.0</v>
      </c>
      <c r="C32" s="45">
        <v>19162.0</v>
      </c>
      <c r="D32" s="19"/>
    </row>
    <row r="33" ht="9.75" customHeight="1">
      <c r="A33" s="43" t="s">
        <v>54</v>
      </c>
      <c r="B33" s="44">
        <v>74915.0</v>
      </c>
      <c r="C33" s="45">
        <v>79066.0</v>
      </c>
      <c r="D33" s="19"/>
    </row>
    <row r="34" ht="9.75" customHeight="1">
      <c r="A34" s="43" t="s">
        <v>56</v>
      </c>
      <c r="B34" s="44">
        <v>177724.0</v>
      </c>
      <c r="C34" s="45">
        <v>174141.0</v>
      </c>
      <c r="D34" s="19"/>
    </row>
    <row r="35" ht="9.75" customHeight="1">
      <c r="A35" s="43" t="s">
        <v>58</v>
      </c>
      <c r="B35" s="44">
        <v>33376.0</v>
      </c>
      <c r="C35" s="45">
        <v>31237.0</v>
      </c>
      <c r="D35" s="19"/>
    </row>
    <row r="36" ht="9.75" customHeight="1">
      <c r="A36" s="21" t="s">
        <v>202</v>
      </c>
      <c r="B36" s="39">
        <v>552788.0</v>
      </c>
      <c r="C36" s="39">
        <v>553781.0</v>
      </c>
      <c r="D36" s="19"/>
    </row>
    <row r="37" ht="9.75" customHeight="1">
      <c r="A37" s="47" t="s">
        <v>61</v>
      </c>
      <c r="B37" s="49"/>
      <c r="C37" s="48"/>
      <c r="D37" s="19"/>
    </row>
    <row r="38" ht="9.75" customHeight="1">
      <c r="A38" s="43" t="s">
        <v>60</v>
      </c>
      <c r="B38" s="44">
        <v>56040.0</v>
      </c>
      <c r="C38" s="45">
        <v>45003.0</v>
      </c>
      <c r="D38" s="19"/>
    </row>
    <row r="39" ht="9.75" customHeight="1">
      <c r="A39" s="43" t="s">
        <v>63</v>
      </c>
      <c r="B39" s="44">
        <v>75290.0</v>
      </c>
      <c r="C39" s="45">
        <v>67048.0</v>
      </c>
      <c r="D39" s="19"/>
    </row>
    <row r="40" ht="9.75" customHeight="1">
      <c r="A40" s="21" t="s">
        <v>203</v>
      </c>
      <c r="B40" s="39">
        <v>131330.0</v>
      </c>
      <c r="C40" s="39">
        <v>112051.0</v>
      </c>
      <c r="D40" s="19"/>
    </row>
    <row r="41" ht="9.75" customHeight="1">
      <c r="A41" s="47" t="s">
        <v>66</v>
      </c>
      <c r="B41" s="49"/>
      <c r="C41" s="48"/>
      <c r="D41" s="19"/>
    </row>
    <row r="42" ht="9.75" customHeight="1">
      <c r="A42" s="43" t="s">
        <v>65</v>
      </c>
      <c r="B42" s="44">
        <v>81131.0</v>
      </c>
      <c r="C42" s="50">
        <v>85917.0</v>
      </c>
      <c r="D42" s="19"/>
    </row>
    <row r="43" ht="9.75" customHeight="1">
      <c r="A43" s="43" t="s">
        <v>204</v>
      </c>
      <c r="B43" s="44">
        <v>6915.0</v>
      </c>
      <c r="C43" s="48"/>
      <c r="D43" s="19"/>
    </row>
    <row r="44" ht="9.75" customHeight="1">
      <c r="A44" s="21" t="s">
        <v>205</v>
      </c>
      <c r="B44" s="39">
        <v>88047.0</v>
      </c>
      <c r="C44" s="39">
        <v>85917.0</v>
      </c>
      <c r="D44" s="19"/>
    </row>
    <row r="45" ht="9.75" customHeight="1">
      <c r="A45" s="47" t="s">
        <v>69</v>
      </c>
      <c r="B45" s="49"/>
      <c r="C45" s="48"/>
      <c r="D45" s="19"/>
    </row>
    <row r="46" ht="9.75" customHeight="1">
      <c r="A46" s="43" t="s">
        <v>68</v>
      </c>
      <c r="B46" s="44">
        <v>56158.0</v>
      </c>
      <c r="C46" s="45">
        <v>53474.0</v>
      </c>
      <c r="D46" s="19"/>
    </row>
    <row r="47" ht="9.75" customHeight="1">
      <c r="A47" s="43" t="s">
        <v>71</v>
      </c>
      <c r="B47" s="44">
        <v>70699.0</v>
      </c>
      <c r="C47" s="45">
        <v>67054.0</v>
      </c>
      <c r="D47" s="19"/>
    </row>
    <row r="48" ht="9.75" customHeight="1">
      <c r="A48" s="43" t="s">
        <v>166</v>
      </c>
      <c r="B48" s="44">
        <v>3055.0</v>
      </c>
      <c r="C48" s="45">
        <v>3055.0</v>
      </c>
      <c r="D48" s="19"/>
    </row>
    <row r="49" ht="9.75" customHeight="1">
      <c r="A49" s="43" t="s">
        <v>73</v>
      </c>
      <c r="B49" s="51" t="s">
        <v>206</v>
      </c>
      <c r="C49" s="50" t="s">
        <v>207</v>
      </c>
      <c r="D49" s="19"/>
    </row>
    <row r="50" ht="9.75" customHeight="1">
      <c r="A50" s="21" t="s">
        <v>208</v>
      </c>
      <c r="B50" s="39">
        <v>155983.0</v>
      </c>
      <c r="C50" s="39">
        <v>148453.0</v>
      </c>
      <c r="D50" s="19"/>
    </row>
    <row r="51" ht="9.75" customHeight="1">
      <c r="A51" s="47" t="s">
        <v>76</v>
      </c>
      <c r="B51" s="49"/>
      <c r="C51" s="48"/>
      <c r="D51" s="19"/>
    </row>
    <row r="52" ht="9.75" customHeight="1">
      <c r="A52" s="43" t="s">
        <v>167</v>
      </c>
      <c r="B52" s="44">
        <v>8291.0</v>
      </c>
      <c r="C52" s="45">
        <v>7781.0</v>
      </c>
      <c r="D52" s="19"/>
    </row>
    <row r="53" ht="9.75" customHeight="1">
      <c r="A53" s="43" t="s">
        <v>75</v>
      </c>
      <c r="B53" s="51">
        <v>831.0</v>
      </c>
      <c r="C53" s="50">
        <v>774.0</v>
      </c>
      <c r="D53" s="19"/>
    </row>
    <row r="54" ht="9.75" customHeight="1">
      <c r="A54" s="43" t="s">
        <v>168</v>
      </c>
      <c r="B54" s="44">
        <v>1431.0</v>
      </c>
      <c r="C54" s="50">
        <v>931.0</v>
      </c>
      <c r="D54" s="19"/>
    </row>
    <row r="55" ht="9.75" customHeight="1">
      <c r="A55" s="43" t="s">
        <v>169</v>
      </c>
      <c r="B55" s="44">
        <v>3940.0</v>
      </c>
      <c r="C55" s="45">
        <v>3840.0</v>
      </c>
      <c r="D55" s="19"/>
    </row>
    <row r="56" ht="9.75" customHeight="1">
      <c r="A56" s="43" t="s">
        <v>209</v>
      </c>
      <c r="B56" s="51">
        <v>14493.0</v>
      </c>
      <c r="C56" s="50">
        <v>13326.0</v>
      </c>
      <c r="D56" s="19"/>
    </row>
    <row r="57" ht="9.75" customHeight="1">
      <c r="A57" s="23" t="s">
        <v>189</v>
      </c>
      <c r="B57" s="24">
        <v>7835113.0</v>
      </c>
      <c r="C57" s="24">
        <v>7755298.0</v>
      </c>
      <c r="D57" s="19"/>
    </row>
    <row r="58" ht="9.75" customHeight="1">
      <c r="A58" s="47" t="s">
        <v>79</v>
      </c>
      <c r="B58" s="49"/>
      <c r="C58" s="48"/>
      <c r="D58" s="19"/>
    </row>
    <row r="59" ht="9.75" customHeight="1">
      <c r="A59" s="43" t="s">
        <v>78</v>
      </c>
      <c r="B59" s="44">
        <v>285430.0</v>
      </c>
      <c r="C59" s="45">
        <v>248052.0</v>
      </c>
      <c r="D59" s="19"/>
    </row>
    <row r="60" ht="9.75" customHeight="1">
      <c r="A60" s="43" t="s">
        <v>81</v>
      </c>
      <c r="B60" s="44">
        <v>252293.0</v>
      </c>
      <c r="C60" s="45">
        <v>254511.0</v>
      </c>
      <c r="D60" s="19"/>
    </row>
    <row r="61" ht="9.75" customHeight="1">
      <c r="A61" s="43" t="s">
        <v>83</v>
      </c>
      <c r="B61" s="44">
        <v>66465.0</v>
      </c>
      <c r="C61" s="45">
        <v>67217.0</v>
      </c>
      <c r="D61" s="19"/>
    </row>
    <row r="62" ht="9.75" customHeight="1">
      <c r="A62" s="43" t="s">
        <v>85</v>
      </c>
      <c r="B62" s="44">
        <v>1392.0</v>
      </c>
      <c r="C62" s="45">
        <v>1335.0</v>
      </c>
      <c r="D62" s="19"/>
    </row>
    <row r="63" ht="9.75" customHeight="1">
      <c r="A63" s="43" t="s">
        <v>87</v>
      </c>
      <c r="B63" s="44">
        <v>43756.0</v>
      </c>
      <c r="C63" s="45">
        <v>39820.0</v>
      </c>
      <c r="D63" s="19"/>
    </row>
    <row r="64" ht="9.75" customHeight="1">
      <c r="A64" s="43" t="s">
        <v>89</v>
      </c>
      <c r="B64" s="44">
        <v>64302.0</v>
      </c>
      <c r="C64" s="45">
        <v>65470.0</v>
      </c>
      <c r="D64" s="19"/>
    </row>
    <row r="65" ht="9.75" customHeight="1">
      <c r="A65" s="43" t="s">
        <v>91</v>
      </c>
      <c r="B65" s="44">
        <v>3685.0</v>
      </c>
      <c r="C65" s="45">
        <v>3831.0</v>
      </c>
      <c r="D65" s="19"/>
    </row>
    <row r="66" ht="9.75" customHeight="1">
      <c r="A66" s="43" t="s">
        <v>93</v>
      </c>
      <c r="B66" s="44">
        <v>18463.0</v>
      </c>
      <c r="C66" s="45">
        <v>18463.0</v>
      </c>
      <c r="D66" s="19"/>
    </row>
    <row r="67" ht="9.75" customHeight="1">
      <c r="A67" s="43" t="s">
        <v>95</v>
      </c>
      <c r="B67" s="44">
        <v>11594.0</v>
      </c>
      <c r="C67" s="45">
        <v>11594.0</v>
      </c>
      <c r="D67" s="19"/>
    </row>
    <row r="68" ht="9.75" customHeight="1">
      <c r="A68" s="43" t="s">
        <v>97</v>
      </c>
      <c r="B68" s="44">
        <v>2474604.0</v>
      </c>
      <c r="C68" s="45">
        <v>2382481.0</v>
      </c>
      <c r="D68" s="19"/>
    </row>
    <row r="69" ht="9.75" customHeight="1">
      <c r="A69" s="43" t="s">
        <v>99</v>
      </c>
      <c r="B69" s="44">
        <v>166248.0</v>
      </c>
      <c r="C69" s="45">
        <v>167917.0</v>
      </c>
      <c r="D69" s="19"/>
    </row>
    <row r="70" ht="9.75" customHeight="1">
      <c r="A70" s="43" t="s">
        <v>101</v>
      </c>
      <c r="B70" s="44">
        <v>1363503.0</v>
      </c>
      <c r="C70" s="45">
        <v>1391190.0</v>
      </c>
      <c r="D70" s="19"/>
    </row>
    <row r="71" ht="9.75" customHeight="1">
      <c r="A71" s="43" t="s">
        <v>103</v>
      </c>
      <c r="B71" s="44">
        <v>3421.0</v>
      </c>
      <c r="C71" s="45">
        <v>3209.0</v>
      </c>
      <c r="D71" s="19"/>
    </row>
    <row r="72" ht="9.75" customHeight="1">
      <c r="A72" s="43" t="s">
        <v>210</v>
      </c>
      <c r="B72" s="46">
        <v>11358.0</v>
      </c>
      <c r="C72" s="48"/>
      <c r="D72" s="19"/>
    </row>
    <row r="73" ht="9.75" customHeight="1">
      <c r="A73" s="23" t="s">
        <v>190</v>
      </c>
      <c r="B73" s="24">
        <v>4766515.0</v>
      </c>
      <c r="C73" s="24">
        <v>4655087.0</v>
      </c>
      <c r="D73" s="19"/>
    </row>
    <row r="74" ht="9.75" customHeight="1">
      <c r="A74" s="31" t="s">
        <v>191</v>
      </c>
      <c r="B74" s="24">
        <v>1.2601627E7</v>
      </c>
      <c r="C74" s="24">
        <v>1.2410385E7</v>
      </c>
      <c r="D74" s="19"/>
    </row>
    <row r="75" ht="8.25" customHeight="1">
      <c r="A75" s="52" t="s">
        <v>151</v>
      </c>
      <c r="B75" s="53"/>
      <c r="C75" s="53"/>
    </row>
    <row r="76" ht="10.5" customHeight="1">
      <c r="A76" s="28" t="s">
        <v>170</v>
      </c>
      <c r="B76" s="54">
        <v>286742.0</v>
      </c>
      <c r="C76" s="55">
        <v>286742.0</v>
      </c>
    </row>
    <row r="77" ht="10.5" customHeight="1">
      <c r="A77" s="28" t="s">
        <v>171</v>
      </c>
      <c r="B77" s="54">
        <v>21297.0</v>
      </c>
      <c r="C77" s="55">
        <v>21297.0</v>
      </c>
    </row>
    <row r="78" ht="10.5" customHeight="1">
      <c r="A78" s="28" t="s">
        <v>172</v>
      </c>
      <c r="B78" s="54">
        <v>906699.0</v>
      </c>
      <c r="C78" s="55">
        <v>893620.0</v>
      </c>
    </row>
    <row r="79" ht="10.5" customHeight="1">
      <c r="A79" s="25" t="s">
        <v>211</v>
      </c>
      <c r="B79" s="26">
        <f t="shared" ref="B79:C79" si="1">SUM(B76:B78)</f>
        <v>1214738</v>
      </c>
      <c r="C79" s="26">
        <f t="shared" si="1"/>
        <v>1201659</v>
      </c>
    </row>
    <row r="80" ht="10.5" customHeight="1">
      <c r="A80" s="56" t="s">
        <v>111</v>
      </c>
      <c r="B80" s="54"/>
      <c r="C80" s="55"/>
    </row>
    <row r="81" ht="10.5" customHeight="1">
      <c r="A81" s="28" t="s">
        <v>173</v>
      </c>
      <c r="B81" s="54">
        <v>24696.0</v>
      </c>
      <c r="C81" s="55">
        <v>31200.0</v>
      </c>
    </row>
    <row r="82" ht="10.5" customHeight="1">
      <c r="A82" s="28" t="s">
        <v>174</v>
      </c>
      <c r="B82" s="54">
        <v>45140.0</v>
      </c>
      <c r="C82" s="55">
        <v>40055.0</v>
      </c>
    </row>
    <row r="83" ht="10.5" customHeight="1">
      <c r="A83" s="28" t="s">
        <v>175</v>
      </c>
      <c r="B83" s="54">
        <v>47291.0</v>
      </c>
      <c r="C83" s="55">
        <v>47291.0</v>
      </c>
    </row>
    <row r="84" ht="10.5" customHeight="1">
      <c r="A84" s="28" t="s">
        <v>176</v>
      </c>
      <c r="B84" s="54">
        <v>83065.0</v>
      </c>
      <c r="C84" s="55">
        <v>83065.0</v>
      </c>
    </row>
    <row r="85" ht="10.5" customHeight="1">
      <c r="A85" s="28" t="s">
        <v>110</v>
      </c>
      <c r="B85" s="54">
        <v>166311.0</v>
      </c>
      <c r="C85" s="55">
        <v>166311.0</v>
      </c>
    </row>
    <row r="86" ht="10.5" customHeight="1">
      <c r="A86" s="28" t="s">
        <v>113</v>
      </c>
      <c r="B86" s="54">
        <v>144157.0</v>
      </c>
      <c r="C86" s="55">
        <v>117756.0</v>
      </c>
    </row>
    <row r="87" ht="10.5" customHeight="1">
      <c r="A87" s="28" t="s">
        <v>177</v>
      </c>
      <c r="B87" s="54">
        <v>52411.0</v>
      </c>
      <c r="C87" s="55">
        <v>52411.0</v>
      </c>
    </row>
    <row r="88" ht="10.5" customHeight="1">
      <c r="A88" s="28" t="s">
        <v>178</v>
      </c>
      <c r="B88" s="54">
        <v>7231.0</v>
      </c>
      <c r="C88" s="55">
        <v>7231.0</v>
      </c>
    </row>
    <row r="89" ht="10.5" customHeight="1">
      <c r="A89" s="28" t="s">
        <v>179</v>
      </c>
      <c r="B89" s="54">
        <v>63340.0</v>
      </c>
      <c r="C89" s="55">
        <v>70249.0</v>
      </c>
    </row>
    <row r="90" ht="10.5" customHeight="1">
      <c r="A90" s="28" t="s">
        <v>180</v>
      </c>
      <c r="B90" s="54">
        <v>1870.0</v>
      </c>
      <c r="C90" s="55">
        <v>636.0</v>
      </c>
    </row>
    <row r="91" ht="10.5" customHeight="1">
      <c r="A91" s="28" t="s">
        <v>181</v>
      </c>
      <c r="B91" s="54">
        <v>75371.0</v>
      </c>
      <c r="C91" s="55">
        <v>75371.0</v>
      </c>
    </row>
    <row r="92" ht="10.5" customHeight="1">
      <c r="A92" s="27" t="s">
        <v>212</v>
      </c>
      <c r="B92" s="26">
        <f t="shared" ref="B92:C92" si="2">SUM(B81:B91)</f>
        <v>710883</v>
      </c>
      <c r="C92" s="26">
        <f t="shared" si="2"/>
        <v>691576</v>
      </c>
    </row>
    <row r="93" ht="10.5" customHeight="1">
      <c r="A93" s="56" t="s">
        <v>182</v>
      </c>
      <c r="B93" s="54"/>
      <c r="C93" s="55"/>
    </row>
    <row r="94" ht="10.5" customHeight="1">
      <c r="A94" s="28" t="s">
        <v>122</v>
      </c>
      <c r="B94" s="54">
        <v>154729.0</v>
      </c>
      <c r="C94" s="55">
        <v>154729.0</v>
      </c>
    </row>
    <row r="95" ht="10.5" customHeight="1">
      <c r="A95" s="28" t="s">
        <v>124</v>
      </c>
      <c r="B95" s="54">
        <v>31700.0</v>
      </c>
      <c r="C95" s="55">
        <v>48350.0</v>
      </c>
    </row>
    <row r="96" ht="10.5" customHeight="1">
      <c r="A96" s="28" t="s">
        <v>128</v>
      </c>
      <c r="B96" s="54">
        <v>10442.0</v>
      </c>
      <c r="C96" s="55">
        <v>133489.0</v>
      </c>
    </row>
    <row r="97" ht="10.5" customHeight="1">
      <c r="A97" s="28" t="s">
        <v>132</v>
      </c>
      <c r="B97" s="54">
        <v>621.0</v>
      </c>
      <c r="C97" s="55">
        <v>1746.0</v>
      </c>
    </row>
    <row r="98" ht="10.5" customHeight="1">
      <c r="A98" s="28" t="s">
        <v>144</v>
      </c>
      <c r="B98" s="54">
        <v>186.0</v>
      </c>
      <c r="C98" s="55">
        <v>103.0</v>
      </c>
    </row>
    <row r="99" ht="10.5" customHeight="1">
      <c r="A99" s="28" t="s">
        <v>146</v>
      </c>
      <c r="B99" s="54">
        <v>134.0</v>
      </c>
      <c r="C99" s="55">
        <v>134.0</v>
      </c>
    </row>
    <row r="100" ht="10.5" customHeight="1">
      <c r="A100" s="28" t="s">
        <v>148</v>
      </c>
      <c r="B100" s="54">
        <v>55000.0</v>
      </c>
      <c r="C100" s="55">
        <v>55000.0</v>
      </c>
    </row>
    <row r="101" ht="10.5" customHeight="1">
      <c r="A101" s="27" t="s">
        <v>213</v>
      </c>
      <c r="B101" s="26">
        <f t="shared" ref="B101:C101" si="3">SUM(B94:B100)</f>
        <v>252812</v>
      </c>
      <c r="C101" s="26">
        <f t="shared" si="3"/>
        <v>393551</v>
      </c>
    </row>
    <row r="102" ht="10.5" customHeight="1">
      <c r="A102" s="28" t="s">
        <v>150</v>
      </c>
      <c r="B102" s="29">
        <v>11592.0</v>
      </c>
      <c r="C102" s="30">
        <v>11886.0</v>
      </c>
    </row>
    <row r="103" ht="10.5" customHeight="1">
      <c r="A103" s="28" t="s">
        <v>153</v>
      </c>
      <c r="B103" s="29">
        <v>10793.0</v>
      </c>
      <c r="C103" s="30">
        <v>11107.0</v>
      </c>
    </row>
    <row r="104" ht="10.5" customHeight="1">
      <c r="A104" s="31" t="s">
        <v>195</v>
      </c>
      <c r="B104" s="32">
        <v>2200816.0</v>
      </c>
      <c r="C104" s="33">
        <v>2309779.0</v>
      </c>
    </row>
    <row r="105" ht="17.25" customHeight="1">
      <c r="A105" s="34" t="s">
        <v>196</v>
      </c>
      <c r="B105" s="35">
        <v>1.4802443E7</v>
      </c>
      <c r="C105" s="35">
        <v>1.4720164E7</v>
      </c>
    </row>
    <row r="106" ht="10.5" customHeight="1">
      <c r="A106" s="28" t="s">
        <v>183</v>
      </c>
      <c r="B106" s="29">
        <v>40699.0</v>
      </c>
      <c r="C106" s="30">
        <v>40699.0</v>
      </c>
    </row>
    <row r="107" ht="10.5" customHeight="1">
      <c r="A107" s="28" t="s">
        <v>184</v>
      </c>
      <c r="B107" s="29">
        <v>314096.0</v>
      </c>
      <c r="C107" s="30">
        <v>314096.0</v>
      </c>
    </row>
    <row r="108" ht="18.75" customHeight="1">
      <c r="A108" s="34" t="s">
        <v>197</v>
      </c>
      <c r="B108" s="35">
        <v>1.5157238E7</v>
      </c>
      <c r="C108" s="35">
        <v>1.5074959E7</v>
      </c>
    </row>
    <row r="109" ht="10.5" customHeight="1">
      <c r="A109" s="56" t="s">
        <v>185</v>
      </c>
      <c r="B109" s="54"/>
      <c r="C109" s="55"/>
    </row>
    <row r="110" ht="10.5" customHeight="1">
      <c r="A110" s="28" t="s">
        <v>155</v>
      </c>
      <c r="B110" s="54">
        <v>410722.0</v>
      </c>
      <c r="C110" s="55">
        <v>403488.0</v>
      </c>
    </row>
    <row r="111" ht="10.5" customHeight="1">
      <c r="A111" s="28" t="s">
        <v>158</v>
      </c>
      <c r="B111" s="54">
        <v>130601.0</v>
      </c>
      <c r="C111" s="55">
        <v>130011.0</v>
      </c>
    </row>
    <row r="112" ht="10.5" customHeight="1">
      <c r="A112" s="57" t="s">
        <v>160</v>
      </c>
      <c r="B112" s="58">
        <v>519450.0</v>
      </c>
      <c r="C112" s="59">
        <v>503995.0</v>
      </c>
    </row>
    <row r="113" ht="12.0" customHeight="1">
      <c r="A113" s="34" t="s">
        <v>198</v>
      </c>
      <c r="B113" s="36">
        <v>1060773.0</v>
      </c>
      <c r="C113" s="36">
        <v>1037494.0</v>
      </c>
    </row>
    <row r="114">
      <c r="B114" s="37"/>
      <c r="C114" s="37"/>
    </row>
    <row r="115">
      <c r="B115" s="37"/>
      <c r="C115" s="37"/>
    </row>
    <row r="116">
      <c r="B116" s="37"/>
      <c r="C116" s="37"/>
    </row>
    <row r="117">
      <c r="B117" s="37"/>
      <c r="C117" s="37"/>
    </row>
    <row r="118">
      <c r="B118" s="37"/>
      <c r="C118" s="37"/>
    </row>
    <row r="119">
      <c r="B119" s="37"/>
      <c r="C119" s="37"/>
    </row>
    <row r="120">
      <c r="B120" s="37"/>
      <c r="C120" s="37"/>
    </row>
    <row r="121">
      <c r="B121" s="37"/>
      <c r="C121" s="37"/>
    </row>
    <row r="122">
      <c r="B122" s="37"/>
      <c r="C122" s="37"/>
    </row>
    <row r="123">
      <c r="B123" s="37"/>
      <c r="C123" s="37"/>
    </row>
    <row r="124">
      <c r="B124" s="37"/>
      <c r="C124" s="37"/>
    </row>
    <row r="125">
      <c r="B125" s="37"/>
      <c r="C125" s="37"/>
    </row>
    <row r="126">
      <c r="B126" s="37"/>
      <c r="C126" s="37"/>
    </row>
    <row r="127">
      <c r="B127" s="37"/>
      <c r="C127" s="37"/>
    </row>
    <row r="128">
      <c r="B128" s="37"/>
      <c r="C128" s="37"/>
    </row>
    <row r="129">
      <c r="B129" s="37"/>
      <c r="C129" s="37"/>
    </row>
    <row r="130">
      <c r="B130" s="37"/>
      <c r="C130" s="37"/>
    </row>
    <row r="131">
      <c r="B131" s="37"/>
      <c r="C131" s="37"/>
    </row>
    <row r="132">
      <c r="B132" s="37"/>
      <c r="C132" s="37"/>
    </row>
    <row r="133">
      <c r="B133" s="37"/>
      <c r="C133" s="37"/>
    </row>
    <row r="134">
      <c r="B134" s="37"/>
      <c r="C134" s="37"/>
    </row>
    <row r="135">
      <c r="B135" s="37"/>
      <c r="C135" s="37"/>
    </row>
    <row r="136">
      <c r="B136" s="37"/>
      <c r="C136" s="37"/>
    </row>
    <row r="137">
      <c r="B137" s="37"/>
      <c r="C137" s="37"/>
    </row>
    <row r="138">
      <c r="B138" s="37"/>
      <c r="C138" s="37"/>
    </row>
    <row r="139">
      <c r="B139" s="37"/>
      <c r="C139" s="37"/>
    </row>
    <row r="140">
      <c r="B140" s="37"/>
      <c r="C140" s="37"/>
    </row>
    <row r="141">
      <c r="B141" s="37"/>
      <c r="C141" s="37"/>
    </row>
    <row r="142">
      <c r="B142" s="37"/>
      <c r="C142" s="37"/>
    </row>
    <row r="143">
      <c r="B143" s="37"/>
      <c r="C143" s="37"/>
    </row>
    <row r="144">
      <c r="B144" s="37"/>
      <c r="C144" s="37"/>
    </row>
    <row r="145">
      <c r="B145" s="37"/>
      <c r="C145" s="37"/>
    </row>
    <row r="146">
      <c r="B146" s="37"/>
      <c r="C146" s="37"/>
    </row>
    <row r="147">
      <c r="B147" s="37"/>
      <c r="C147" s="37"/>
    </row>
    <row r="148">
      <c r="B148" s="37"/>
      <c r="C148" s="37"/>
    </row>
    <row r="149">
      <c r="B149" s="37"/>
      <c r="C149" s="37"/>
    </row>
    <row r="150">
      <c r="B150" s="37"/>
      <c r="C150" s="37"/>
    </row>
    <row r="151">
      <c r="B151" s="37"/>
      <c r="C151" s="37"/>
    </row>
    <row r="152">
      <c r="B152" s="37"/>
      <c r="C152" s="37"/>
    </row>
    <row r="153">
      <c r="B153" s="37"/>
      <c r="C153" s="37"/>
    </row>
    <row r="154">
      <c r="B154" s="37"/>
      <c r="C154" s="37"/>
    </row>
    <row r="155">
      <c r="B155" s="37"/>
      <c r="C155" s="37"/>
    </row>
    <row r="156">
      <c r="B156" s="37"/>
      <c r="C156" s="37"/>
    </row>
    <row r="157">
      <c r="B157" s="37"/>
      <c r="C157" s="37"/>
    </row>
    <row r="158">
      <c r="B158" s="37"/>
      <c r="C158" s="37"/>
    </row>
    <row r="159">
      <c r="B159" s="37"/>
      <c r="C159" s="37"/>
    </row>
    <row r="160">
      <c r="B160" s="37"/>
      <c r="C160" s="37"/>
    </row>
    <row r="161">
      <c r="B161" s="37"/>
      <c r="C161" s="37"/>
    </row>
    <row r="162">
      <c r="B162" s="37"/>
      <c r="C162" s="37"/>
    </row>
    <row r="163">
      <c r="B163" s="37"/>
      <c r="C163" s="37"/>
    </row>
    <row r="164">
      <c r="B164" s="37"/>
      <c r="C164" s="37"/>
    </row>
    <row r="165">
      <c r="B165" s="37"/>
      <c r="C165" s="37"/>
    </row>
    <row r="166">
      <c r="B166" s="37"/>
      <c r="C166" s="37"/>
    </row>
    <row r="167">
      <c r="B167" s="37"/>
      <c r="C167" s="37"/>
    </row>
    <row r="168">
      <c r="B168" s="37"/>
      <c r="C168" s="37"/>
    </row>
    <row r="169">
      <c r="B169" s="37"/>
      <c r="C169" s="37"/>
    </row>
    <row r="170">
      <c r="B170" s="37"/>
      <c r="C170" s="37"/>
    </row>
    <row r="171">
      <c r="B171" s="37"/>
      <c r="C171" s="37"/>
    </row>
    <row r="172">
      <c r="B172" s="37"/>
      <c r="C172" s="37"/>
    </row>
    <row r="173">
      <c r="B173" s="37"/>
      <c r="C173" s="37"/>
    </row>
    <row r="174">
      <c r="B174" s="37"/>
      <c r="C174" s="37"/>
    </row>
    <row r="175">
      <c r="B175" s="37"/>
      <c r="C175" s="37"/>
    </row>
    <row r="176">
      <c r="B176" s="37"/>
      <c r="C176" s="37"/>
    </row>
    <row r="177">
      <c r="B177" s="37"/>
      <c r="C177" s="37"/>
    </row>
    <row r="178">
      <c r="B178" s="37"/>
      <c r="C178" s="37"/>
    </row>
    <row r="179">
      <c r="B179" s="37"/>
      <c r="C179" s="37"/>
    </row>
    <row r="180">
      <c r="B180" s="37"/>
      <c r="C180" s="37"/>
    </row>
    <row r="181">
      <c r="B181" s="37"/>
      <c r="C181" s="37"/>
    </row>
    <row r="182">
      <c r="B182" s="37"/>
      <c r="C182" s="37"/>
    </row>
    <row r="183">
      <c r="B183" s="37"/>
      <c r="C183" s="37"/>
    </row>
    <row r="184">
      <c r="B184" s="37"/>
      <c r="C184" s="37"/>
    </row>
    <row r="185">
      <c r="B185" s="37"/>
      <c r="C185" s="37"/>
    </row>
    <row r="186">
      <c r="B186" s="37"/>
      <c r="C186" s="37"/>
    </row>
    <row r="187">
      <c r="B187" s="37"/>
      <c r="C187" s="37"/>
    </row>
    <row r="188">
      <c r="B188" s="37"/>
      <c r="C188" s="37"/>
    </row>
    <row r="189">
      <c r="B189" s="37"/>
      <c r="C189" s="37"/>
    </row>
    <row r="190">
      <c r="B190" s="37"/>
      <c r="C190" s="37"/>
    </row>
    <row r="191">
      <c r="B191" s="37"/>
      <c r="C191" s="37"/>
    </row>
    <row r="192">
      <c r="B192" s="37"/>
      <c r="C192" s="37"/>
    </row>
    <row r="193">
      <c r="B193" s="37"/>
      <c r="C193" s="37"/>
    </row>
    <row r="194">
      <c r="B194" s="37"/>
      <c r="C194" s="37"/>
    </row>
    <row r="195">
      <c r="B195" s="37"/>
      <c r="C195" s="37"/>
    </row>
    <row r="196">
      <c r="B196" s="37"/>
      <c r="C196" s="37"/>
    </row>
    <row r="197">
      <c r="B197" s="37"/>
      <c r="C197" s="37"/>
    </row>
    <row r="198">
      <c r="B198" s="37"/>
      <c r="C198" s="37"/>
    </row>
    <row r="199">
      <c r="B199" s="37"/>
      <c r="C199" s="37"/>
    </row>
    <row r="200">
      <c r="B200" s="37"/>
      <c r="C200" s="37"/>
    </row>
    <row r="201">
      <c r="B201" s="37"/>
      <c r="C201" s="37"/>
    </row>
    <row r="202">
      <c r="B202" s="37"/>
      <c r="C202" s="37"/>
    </row>
    <row r="203">
      <c r="B203" s="37"/>
      <c r="C203" s="37"/>
    </row>
    <row r="204">
      <c r="B204" s="37"/>
      <c r="C204" s="37"/>
    </row>
    <row r="205">
      <c r="B205" s="37"/>
      <c r="C205" s="37"/>
    </row>
    <row r="206">
      <c r="B206" s="37"/>
      <c r="C206" s="37"/>
    </row>
    <row r="207">
      <c r="B207" s="37"/>
      <c r="C207" s="37"/>
    </row>
    <row r="208">
      <c r="B208" s="37"/>
      <c r="C208" s="37"/>
    </row>
    <row r="209">
      <c r="B209" s="37"/>
      <c r="C209" s="37"/>
    </row>
    <row r="210">
      <c r="B210" s="37"/>
      <c r="C210" s="37"/>
    </row>
    <row r="211">
      <c r="B211" s="37"/>
      <c r="C211" s="37"/>
    </row>
    <row r="212">
      <c r="B212" s="37"/>
      <c r="C212" s="37"/>
    </row>
    <row r="213">
      <c r="B213" s="37"/>
      <c r="C213" s="37"/>
    </row>
    <row r="214">
      <c r="B214" s="37"/>
      <c r="C214" s="37"/>
    </row>
    <row r="215">
      <c r="B215" s="37"/>
      <c r="C215" s="37"/>
    </row>
    <row r="216">
      <c r="B216" s="37"/>
      <c r="C216" s="37"/>
    </row>
    <row r="217">
      <c r="B217" s="37"/>
      <c r="C217" s="37"/>
    </row>
    <row r="218">
      <c r="B218" s="37"/>
      <c r="C218" s="37"/>
    </row>
    <row r="219">
      <c r="B219" s="37"/>
      <c r="C219" s="37"/>
    </row>
    <row r="220">
      <c r="B220" s="37"/>
      <c r="C220" s="37"/>
    </row>
    <row r="221">
      <c r="B221" s="37"/>
      <c r="C221" s="37"/>
    </row>
    <row r="222">
      <c r="B222" s="37"/>
      <c r="C222" s="37"/>
    </row>
    <row r="223">
      <c r="B223" s="37"/>
      <c r="C223" s="37"/>
    </row>
    <row r="224">
      <c r="B224" s="37"/>
      <c r="C224" s="37"/>
    </row>
    <row r="225">
      <c r="B225" s="37"/>
      <c r="C225" s="37"/>
    </row>
    <row r="226">
      <c r="B226" s="37"/>
      <c r="C226" s="37"/>
    </row>
    <row r="227">
      <c r="B227" s="37"/>
      <c r="C227" s="37"/>
    </row>
    <row r="228">
      <c r="B228" s="37"/>
      <c r="C228" s="37"/>
    </row>
    <row r="229">
      <c r="B229" s="37"/>
      <c r="C229" s="37"/>
    </row>
    <row r="230">
      <c r="B230" s="37"/>
      <c r="C230" s="37"/>
    </row>
    <row r="231">
      <c r="B231" s="37"/>
      <c r="C231" s="37"/>
    </row>
    <row r="232">
      <c r="B232" s="37"/>
      <c r="C232" s="37"/>
    </row>
    <row r="233">
      <c r="B233" s="37"/>
      <c r="C233" s="37"/>
    </row>
    <row r="234">
      <c r="B234" s="37"/>
      <c r="C234" s="37"/>
    </row>
    <row r="235">
      <c r="B235" s="37"/>
      <c r="C235" s="37"/>
    </row>
    <row r="236">
      <c r="B236" s="37"/>
      <c r="C236" s="37"/>
    </row>
    <row r="237">
      <c r="B237" s="37"/>
      <c r="C237" s="37"/>
    </row>
    <row r="238">
      <c r="B238" s="37"/>
      <c r="C238" s="37"/>
    </row>
    <row r="239">
      <c r="B239" s="37"/>
      <c r="C239" s="37"/>
    </row>
    <row r="240">
      <c r="B240" s="37"/>
      <c r="C240" s="37"/>
    </row>
    <row r="241">
      <c r="B241" s="37"/>
      <c r="C241" s="37"/>
    </row>
    <row r="242">
      <c r="B242" s="37"/>
      <c r="C242" s="37"/>
    </row>
    <row r="243">
      <c r="B243" s="37"/>
      <c r="C243" s="37"/>
    </row>
    <row r="244">
      <c r="B244" s="37"/>
      <c r="C244" s="37"/>
    </row>
    <row r="245">
      <c r="B245" s="37"/>
      <c r="C245" s="37"/>
    </row>
    <row r="246">
      <c r="B246" s="37"/>
      <c r="C246" s="37"/>
    </row>
    <row r="247">
      <c r="B247" s="37"/>
      <c r="C247" s="37"/>
    </row>
    <row r="248">
      <c r="B248" s="37"/>
      <c r="C248" s="37"/>
    </row>
    <row r="249">
      <c r="B249" s="37"/>
      <c r="C249" s="37"/>
    </row>
    <row r="250">
      <c r="B250" s="37"/>
      <c r="C250" s="37"/>
    </row>
    <row r="251">
      <c r="B251" s="37"/>
      <c r="C251" s="37"/>
    </row>
    <row r="252">
      <c r="B252" s="37"/>
      <c r="C252" s="37"/>
    </row>
    <row r="253">
      <c r="B253" s="37"/>
      <c r="C253" s="37"/>
    </row>
    <row r="254">
      <c r="B254" s="37"/>
      <c r="C254" s="37"/>
    </row>
    <row r="255">
      <c r="B255" s="37"/>
      <c r="C255" s="37"/>
    </row>
    <row r="256">
      <c r="B256" s="37"/>
      <c r="C256" s="37"/>
    </row>
    <row r="257">
      <c r="B257" s="37"/>
      <c r="C257" s="37"/>
    </row>
    <row r="258">
      <c r="B258" s="37"/>
      <c r="C258" s="37"/>
    </row>
    <row r="259">
      <c r="B259" s="37"/>
      <c r="C259" s="37"/>
    </row>
    <row r="260">
      <c r="B260" s="37"/>
      <c r="C260" s="37"/>
    </row>
    <row r="261">
      <c r="B261" s="37"/>
      <c r="C261" s="37"/>
    </row>
    <row r="262">
      <c r="B262" s="37"/>
      <c r="C262" s="37"/>
    </row>
    <row r="263">
      <c r="B263" s="37"/>
      <c r="C263" s="37"/>
    </row>
    <row r="264">
      <c r="B264" s="37"/>
      <c r="C264" s="37"/>
    </row>
    <row r="265">
      <c r="B265" s="37"/>
      <c r="C265" s="37"/>
    </row>
    <row r="266">
      <c r="B266" s="37"/>
      <c r="C266" s="37"/>
    </row>
    <row r="267">
      <c r="B267" s="37"/>
      <c r="C267" s="37"/>
    </row>
    <row r="268">
      <c r="B268" s="37"/>
      <c r="C268" s="37"/>
    </row>
    <row r="269">
      <c r="B269" s="37"/>
      <c r="C269" s="37"/>
    </row>
    <row r="270">
      <c r="B270" s="37"/>
      <c r="C270" s="37"/>
    </row>
    <row r="271">
      <c r="B271" s="37"/>
      <c r="C271" s="37"/>
    </row>
    <row r="272">
      <c r="B272" s="37"/>
      <c r="C272" s="37"/>
    </row>
    <row r="273">
      <c r="B273" s="37"/>
      <c r="C273" s="37"/>
    </row>
    <row r="274">
      <c r="B274" s="37"/>
      <c r="C274" s="37"/>
    </row>
    <row r="275">
      <c r="B275" s="37"/>
      <c r="C275" s="37"/>
    </row>
    <row r="276">
      <c r="B276" s="37"/>
      <c r="C276" s="37"/>
    </row>
    <row r="277">
      <c r="B277" s="37"/>
      <c r="C277" s="37"/>
    </row>
    <row r="278">
      <c r="B278" s="37"/>
      <c r="C278" s="37"/>
    </row>
    <row r="279">
      <c r="B279" s="37"/>
      <c r="C279" s="37"/>
    </row>
    <row r="280">
      <c r="B280" s="37"/>
      <c r="C280" s="37"/>
    </row>
    <row r="281">
      <c r="B281" s="37"/>
      <c r="C281" s="37"/>
    </row>
    <row r="282">
      <c r="B282" s="37"/>
      <c r="C282" s="37"/>
    </row>
    <row r="283">
      <c r="B283" s="37"/>
      <c r="C283" s="37"/>
    </row>
    <row r="284">
      <c r="B284" s="37"/>
      <c r="C284" s="37"/>
    </row>
    <row r="285">
      <c r="B285" s="37"/>
      <c r="C285" s="37"/>
    </row>
    <row r="286">
      <c r="B286" s="37"/>
      <c r="C286" s="37"/>
    </row>
    <row r="287">
      <c r="B287" s="37"/>
      <c r="C287" s="37"/>
    </row>
    <row r="288">
      <c r="B288" s="37"/>
      <c r="C288" s="37"/>
    </row>
    <row r="289">
      <c r="B289" s="37"/>
      <c r="C289" s="37"/>
    </row>
    <row r="290">
      <c r="B290" s="37"/>
      <c r="C290" s="37"/>
    </row>
    <row r="291">
      <c r="B291" s="37"/>
      <c r="C291" s="37"/>
    </row>
    <row r="292">
      <c r="B292" s="37"/>
      <c r="C292" s="37"/>
    </row>
    <row r="293">
      <c r="B293" s="37"/>
      <c r="C293" s="37"/>
    </row>
    <row r="294">
      <c r="B294" s="37"/>
      <c r="C294" s="37"/>
    </row>
    <row r="295">
      <c r="B295" s="37"/>
      <c r="C295" s="37"/>
    </row>
    <row r="296">
      <c r="B296" s="37"/>
      <c r="C296" s="37"/>
    </row>
    <row r="297">
      <c r="B297" s="37"/>
      <c r="C297" s="37"/>
    </row>
    <row r="298">
      <c r="B298" s="37"/>
      <c r="C298" s="37"/>
    </row>
    <row r="299">
      <c r="B299" s="37"/>
      <c r="C299" s="37"/>
    </row>
    <row r="300">
      <c r="B300" s="37"/>
      <c r="C300" s="37"/>
    </row>
    <row r="301">
      <c r="B301" s="37"/>
      <c r="C301" s="37"/>
    </row>
    <row r="302">
      <c r="B302" s="37"/>
      <c r="C302" s="37"/>
    </row>
    <row r="303">
      <c r="B303" s="37"/>
      <c r="C303" s="37"/>
    </row>
    <row r="304">
      <c r="B304" s="37"/>
      <c r="C304" s="37"/>
    </row>
    <row r="305">
      <c r="B305" s="37"/>
      <c r="C305" s="37"/>
    </row>
    <row r="306">
      <c r="B306" s="37"/>
      <c r="C306" s="37"/>
    </row>
    <row r="307">
      <c r="B307" s="37"/>
      <c r="C307" s="37"/>
    </row>
    <row r="308">
      <c r="B308" s="37"/>
      <c r="C308" s="37"/>
    </row>
    <row r="309">
      <c r="B309" s="37"/>
      <c r="C309" s="37"/>
    </row>
    <row r="310">
      <c r="B310" s="37"/>
      <c r="C310" s="37"/>
    </row>
    <row r="311">
      <c r="B311" s="37"/>
      <c r="C311" s="37"/>
    </row>
    <row r="312">
      <c r="B312" s="37"/>
      <c r="C312" s="37"/>
    </row>
    <row r="313">
      <c r="B313" s="37"/>
      <c r="C313" s="37"/>
    </row>
    <row r="314">
      <c r="B314" s="37"/>
      <c r="C314" s="37"/>
    </row>
    <row r="315">
      <c r="B315" s="37"/>
      <c r="C315" s="37"/>
    </row>
    <row r="316">
      <c r="B316" s="37"/>
      <c r="C316" s="37"/>
    </row>
    <row r="317">
      <c r="B317" s="37"/>
      <c r="C317" s="37"/>
    </row>
    <row r="318">
      <c r="B318" s="37"/>
      <c r="C318" s="37"/>
    </row>
    <row r="319">
      <c r="B319" s="37"/>
      <c r="C319" s="37"/>
    </row>
    <row r="320">
      <c r="B320" s="37"/>
      <c r="C320" s="37"/>
    </row>
    <row r="321">
      <c r="B321" s="37"/>
      <c r="C321" s="37"/>
    </row>
    <row r="322">
      <c r="B322" s="37"/>
      <c r="C322" s="37"/>
    </row>
    <row r="323">
      <c r="B323" s="37"/>
      <c r="C323" s="37"/>
    </row>
    <row r="324">
      <c r="B324" s="37"/>
      <c r="C324" s="37"/>
    </row>
    <row r="325">
      <c r="B325" s="37"/>
      <c r="C325" s="37"/>
    </row>
    <row r="326">
      <c r="B326" s="37"/>
      <c r="C326" s="37"/>
    </row>
    <row r="327">
      <c r="B327" s="37"/>
      <c r="C327" s="37"/>
    </row>
    <row r="328">
      <c r="B328" s="37"/>
      <c r="C328" s="37"/>
    </row>
    <row r="329">
      <c r="B329" s="37"/>
      <c r="C329" s="37"/>
    </row>
    <row r="330">
      <c r="B330" s="37"/>
      <c r="C330" s="37"/>
    </row>
    <row r="331">
      <c r="B331" s="37"/>
      <c r="C331" s="37"/>
    </row>
    <row r="332">
      <c r="B332" s="37"/>
      <c r="C332" s="37"/>
    </row>
    <row r="333">
      <c r="B333" s="37"/>
      <c r="C333" s="37"/>
    </row>
    <row r="334">
      <c r="B334" s="37"/>
      <c r="C334" s="37"/>
    </row>
    <row r="335">
      <c r="B335" s="37"/>
      <c r="C335" s="37"/>
    </row>
    <row r="336">
      <c r="B336" s="37"/>
      <c r="C336" s="37"/>
    </row>
    <row r="337">
      <c r="B337" s="37"/>
      <c r="C337" s="37"/>
    </row>
    <row r="338">
      <c r="B338" s="37"/>
      <c r="C338" s="37"/>
    </row>
    <row r="339">
      <c r="B339" s="37"/>
      <c r="C339" s="37"/>
    </row>
    <row r="340">
      <c r="B340" s="37"/>
      <c r="C340" s="37"/>
    </row>
    <row r="341">
      <c r="B341" s="37"/>
      <c r="C341" s="37"/>
    </row>
    <row r="342">
      <c r="B342" s="37"/>
      <c r="C342" s="37"/>
    </row>
    <row r="343">
      <c r="B343" s="37"/>
      <c r="C343" s="37"/>
    </row>
    <row r="344">
      <c r="B344" s="37"/>
      <c r="C344" s="37"/>
    </row>
    <row r="345">
      <c r="B345" s="37"/>
      <c r="C345" s="37"/>
    </row>
    <row r="346">
      <c r="B346" s="37"/>
      <c r="C346" s="37"/>
    </row>
    <row r="347">
      <c r="B347" s="37"/>
      <c r="C347" s="37"/>
    </row>
    <row r="348">
      <c r="B348" s="37"/>
      <c r="C348" s="37"/>
    </row>
    <row r="349">
      <c r="B349" s="37"/>
      <c r="C349" s="37"/>
    </row>
    <row r="350">
      <c r="B350" s="37"/>
      <c r="C350" s="37"/>
    </row>
    <row r="351">
      <c r="B351" s="37"/>
      <c r="C351" s="37"/>
    </row>
    <row r="352">
      <c r="B352" s="37"/>
      <c r="C352" s="37"/>
    </row>
    <row r="353">
      <c r="B353" s="37"/>
      <c r="C353" s="37"/>
    </row>
    <row r="354">
      <c r="B354" s="37"/>
      <c r="C354" s="37"/>
    </row>
    <row r="355">
      <c r="B355" s="37"/>
      <c r="C355" s="37"/>
    </row>
    <row r="356">
      <c r="B356" s="37"/>
      <c r="C356" s="37"/>
    </row>
    <row r="357">
      <c r="B357" s="37"/>
      <c r="C357" s="37"/>
    </row>
    <row r="358">
      <c r="B358" s="37"/>
      <c r="C358" s="37"/>
    </row>
    <row r="359">
      <c r="B359" s="37"/>
      <c r="C359" s="37"/>
    </row>
    <row r="360">
      <c r="B360" s="37"/>
      <c r="C360" s="37"/>
    </row>
    <row r="361">
      <c r="B361" s="37"/>
      <c r="C361" s="37"/>
    </row>
    <row r="362">
      <c r="B362" s="37"/>
      <c r="C362" s="37"/>
    </row>
    <row r="363">
      <c r="B363" s="37"/>
      <c r="C363" s="37"/>
    </row>
    <row r="364">
      <c r="B364" s="37"/>
      <c r="C364" s="37"/>
    </row>
    <row r="365">
      <c r="B365" s="37"/>
      <c r="C365" s="37"/>
    </row>
    <row r="366">
      <c r="B366" s="37"/>
      <c r="C366" s="37"/>
    </row>
    <row r="367">
      <c r="B367" s="37"/>
      <c r="C367" s="37"/>
    </row>
    <row r="368">
      <c r="B368" s="37"/>
      <c r="C368" s="37"/>
    </row>
    <row r="369">
      <c r="B369" s="37"/>
      <c r="C369" s="37"/>
    </row>
    <row r="370">
      <c r="B370" s="37"/>
      <c r="C370" s="37"/>
    </row>
    <row r="371">
      <c r="B371" s="37"/>
      <c r="C371" s="37"/>
    </row>
    <row r="372">
      <c r="B372" s="37"/>
      <c r="C372" s="37"/>
    </row>
    <row r="373">
      <c r="B373" s="37"/>
      <c r="C373" s="37"/>
    </row>
    <row r="374">
      <c r="B374" s="37"/>
      <c r="C374" s="37"/>
    </row>
    <row r="375">
      <c r="B375" s="37"/>
      <c r="C375" s="37"/>
    </row>
    <row r="376">
      <c r="B376" s="37"/>
      <c r="C376" s="37"/>
    </row>
    <row r="377">
      <c r="B377" s="37"/>
      <c r="C377" s="37"/>
    </row>
    <row r="378">
      <c r="B378" s="37"/>
      <c r="C378" s="37"/>
    </row>
    <row r="379">
      <c r="B379" s="37"/>
      <c r="C379" s="37"/>
    </row>
    <row r="380">
      <c r="B380" s="37"/>
      <c r="C380" s="37"/>
    </row>
    <row r="381">
      <c r="B381" s="37"/>
      <c r="C381" s="37"/>
    </row>
    <row r="382">
      <c r="B382" s="37"/>
      <c r="C382" s="37"/>
    </row>
    <row r="383">
      <c r="B383" s="37"/>
      <c r="C383" s="37"/>
    </row>
    <row r="384">
      <c r="B384" s="37"/>
      <c r="C384" s="37"/>
    </row>
    <row r="385">
      <c r="B385" s="37"/>
      <c r="C385" s="37"/>
    </row>
    <row r="386">
      <c r="B386" s="37"/>
      <c r="C386" s="37"/>
    </row>
    <row r="387">
      <c r="B387" s="37"/>
      <c r="C387" s="37"/>
    </row>
    <row r="388">
      <c r="B388" s="37"/>
      <c r="C388" s="37"/>
    </row>
    <row r="389">
      <c r="B389" s="37"/>
      <c r="C389" s="37"/>
    </row>
    <row r="390">
      <c r="B390" s="37"/>
      <c r="C390" s="37"/>
    </row>
    <row r="391">
      <c r="B391" s="37"/>
      <c r="C391" s="37"/>
    </row>
    <row r="392">
      <c r="B392" s="37"/>
      <c r="C392" s="37"/>
    </row>
    <row r="393">
      <c r="B393" s="37"/>
      <c r="C393" s="37"/>
    </row>
    <row r="394">
      <c r="B394" s="37"/>
      <c r="C394" s="37"/>
    </row>
    <row r="395">
      <c r="B395" s="37"/>
      <c r="C395" s="37"/>
    </row>
    <row r="396">
      <c r="B396" s="37"/>
      <c r="C396" s="37"/>
    </row>
    <row r="397">
      <c r="B397" s="37"/>
      <c r="C397" s="37"/>
    </row>
    <row r="398">
      <c r="B398" s="37"/>
      <c r="C398" s="37"/>
    </row>
    <row r="399">
      <c r="B399" s="37"/>
      <c r="C399" s="37"/>
    </row>
    <row r="400">
      <c r="B400" s="37"/>
      <c r="C400" s="37"/>
    </row>
    <row r="401">
      <c r="B401" s="37"/>
      <c r="C401" s="37"/>
    </row>
    <row r="402">
      <c r="B402" s="37"/>
      <c r="C402" s="37"/>
    </row>
    <row r="403">
      <c r="B403" s="37"/>
      <c r="C403" s="37"/>
    </row>
    <row r="404">
      <c r="B404" s="37"/>
      <c r="C404" s="37"/>
    </row>
    <row r="405">
      <c r="B405" s="37"/>
      <c r="C405" s="37"/>
    </row>
    <row r="406">
      <c r="B406" s="37"/>
      <c r="C406" s="37"/>
    </row>
    <row r="407">
      <c r="B407" s="37"/>
      <c r="C407" s="37"/>
    </row>
    <row r="408">
      <c r="B408" s="37"/>
      <c r="C408" s="37"/>
    </row>
    <row r="409">
      <c r="B409" s="37"/>
      <c r="C409" s="37"/>
    </row>
    <row r="410">
      <c r="B410" s="37"/>
      <c r="C410" s="37"/>
    </row>
    <row r="411">
      <c r="B411" s="37"/>
      <c r="C411" s="37"/>
    </row>
    <row r="412">
      <c r="B412" s="37"/>
      <c r="C412" s="37"/>
    </row>
    <row r="413">
      <c r="B413" s="37"/>
      <c r="C413" s="37"/>
    </row>
    <row r="414">
      <c r="B414" s="37"/>
      <c r="C414" s="37"/>
    </row>
    <row r="415">
      <c r="B415" s="37"/>
      <c r="C415" s="37"/>
    </row>
    <row r="416">
      <c r="B416" s="37"/>
      <c r="C416" s="37"/>
    </row>
    <row r="417">
      <c r="B417" s="37"/>
      <c r="C417" s="37"/>
    </row>
    <row r="418">
      <c r="B418" s="37"/>
      <c r="C418" s="37"/>
    </row>
    <row r="419">
      <c r="B419" s="37"/>
      <c r="C419" s="37"/>
    </row>
    <row r="420">
      <c r="B420" s="37"/>
      <c r="C420" s="37"/>
    </row>
    <row r="421">
      <c r="B421" s="37"/>
      <c r="C421" s="37"/>
    </row>
    <row r="422">
      <c r="B422" s="37"/>
      <c r="C422" s="37"/>
    </row>
    <row r="423">
      <c r="B423" s="37"/>
      <c r="C423" s="37"/>
    </row>
    <row r="424">
      <c r="B424" s="37"/>
      <c r="C424" s="37"/>
    </row>
    <row r="425">
      <c r="B425" s="37"/>
      <c r="C425" s="37"/>
    </row>
    <row r="426">
      <c r="B426" s="37"/>
      <c r="C426" s="37"/>
    </row>
    <row r="427">
      <c r="B427" s="37"/>
      <c r="C427" s="37"/>
    </row>
    <row r="428">
      <c r="B428" s="37"/>
      <c r="C428" s="37"/>
    </row>
    <row r="429">
      <c r="B429" s="37"/>
      <c r="C429" s="37"/>
    </row>
    <row r="430">
      <c r="B430" s="37"/>
      <c r="C430" s="37"/>
    </row>
    <row r="431">
      <c r="B431" s="37"/>
      <c r="C431" s="37"/>
    </row>
    <row r="432">
      <c r="B432" s="37"/>
      <c r="C432" s="37"/>
    </row>
    <row r="433">
      <c r="B433" s="37"/>
      <c r="C433" s="37"/>
    </row>
    <row r="434">
      <c r="B434" s="37"/>
      <c r="C434" s="37"/>
    </row>
    <row r="435">
      <c r="B435" s="37"/>
      <c r="C435" s="37"/>
    </row>
    <row r="436">
      <c r="B436" s="37"/>
      <c r="C436" s="37"/>
    </row>
    <row r="437">
      <c r="B437" s="37"/>
      <c r="C437" s="37"/>
    </row>
    <row r="438">
      <c r="B438" s="37"/>
      <c r="C438" s="37"/>
    </row>
    <row r="439">
      <c r="B439" s="37"/>
      <c r="C439" s="37"/>
    </row>
    <row r="440">
      <c r="B440" s="37"/>
      <c r="C440" s="37"/>
    </row>
    <row r="441">
      <c r="B441" s="37"/>
      <c r="C441" s="37"/>
    </row>
    <row r="442">
      <c r="B442" s="37"/>
      <c r="C442" s="37"/>
    </row>
    <row r="443">
      <c r="B443" s="37"/>
      <c r="C443" s="37"/>
    </row>
    <row r="444">
      <c r="B444" s="37"/>
      <c r="C444" s="37"/>
    </row>
    <row r="445">
      <c r="B445" s="37"/>
      <c r="C445" s="37"/>
    </row>
    <row r="446">
      <c r="B446" s="37"/>
      <c r="C446" s="37"/>
    </row>
    <row r="447">
      <c r="B447" s="37"/>
      <c r="C447" s="37"/>
    </row>
    <row r="448">
      <c r="B448" s="37"/>
      <c r="C448" s="37"/>
    </row>
    <row r="449">
      <c r="B449" s="37"/>
      <c r="C449" s="37"/>
    </row>
    <row r="450">
      <c r="B450" s="37"/>
      <c r="C450" s="37"/>
    </row>
    <row r="451">
      <c r="B451" s="37"/>
      <c r="C451" s="37"/>
    </row>
    <row r="452">
      <c r="B452" s="37"/>
      <c r="C452" s="37"/>
    </row>
    <row r="453">
      <c r="B453" s="37"/>
      <c r="C453" s="37"/>
    </row>
    <row r="454">
      <c r="B454" s="37"/>
      <c r="C454" s="37"/>
    </row>
    <row r="455">
      <c r="B455" s="37"/>
      <c r="C455" s="37"/>
    </row>
    <row r="456">
      <c r="B456" s="37"/>
      <c r="C456" s="37"/>
    </row>
    <row r="457">
      <c r="B457" s="37"/>
      <c r="C457" s="37"/>
    </row>
    <row r="458">
      <c r="B458" s="37"/>
      <c r="C458" s="37"/>
    </row>
    <row r="459">
      <c r="B459" s="37"/>
      <c r="C459" s="37"/>
    </row>
    <row r="460">
      <c r="B460" s="37"/>
      <c r="C460" s="37"/>
    </row>
    <row r="461">
      <c r="B461" s="37"/>
      <c r="C461" s="37"/>
    </row>
    <row r="462">
      <c r="B462" s="37"/>
      <c r="C462" s="37"/>
    </row>
    <row r="463">
      <c r="B463" s="37"/>
      <c r="C463" s="37"/>
    </row>
    <row r="464">
      <c r="B464" s="37"/>
      <c r="C464" s="37"/>
    </row>
    <row r="465">
      <c r="B465" s="37"/>
      <c r="C465" s="37"/>
    </row>
    <row r="466">
      <c r="B466" s="37"/>
      <c r="C466" s="37"/>
    </row>
    <row r="467">
      <c r="B467" s="37"/>
      <c r="C467" s="37"/>
    </row>
    <row r="468">
      <c r="B468" s="37"/>
      <c r="C468" s="37"/>
    </row>
    <row r="469">
      <c r="B469" s="37"/>
      <c r="C469" s="37"/>
    </row>
    <row r="470">
      <c r="B470" s="37"/>
      <c r="C470" s="37"/>
    </row>
    <row r="471">
      <c r="B471" s="37"/>
      <c r="C471" s="37"/>
    </row>
    <row r="472">
      <c r="B472" s="37"/>
      <c r="C472" s="37"/>
    </row>
    <row r="473">
      <c r="B473" s="37"/>
      <c r="C473" s="37"/>
    </row>
    <row r="474">
      <c r="B474" s="37"/>
      <c r="C474" s="37"/>
    </row>
    <row r="475">
      <c r="B475" s="37"/>
      <c r="C475" s="37"/>
    </row>
    <row r="476">
      <c r="B476" s="37"/>
      <c r="C476" s="37"/>
    </row>
    <row r="477">
      <c r="B477" s="37"/>
      <c r="C477" s="37"/>
    </row>
    <row r="478">
      <c r="B478" s="37"/>
      <c r="C478" s="37"/>
    </row>
    <row r="479">
      <c r="B479" s="37"/>
      <c r="C479" s="37"/>
    </row>
    <row r="480">
      <c r="B480" s="37"/>
      <c r="C480" s="37"/>
    </row>
    <row r="481">
      <c r="B481" s="37"/>
      <c r="C481" s="37"/>
    </row>
    <row r="482">
      <c r="B482" s="37"/>
      <c r="C482" s="37"/>
    </row>
    <row r="483">
      <c r="B483" s="37"/>
      <c r="C483" s="37"/>
    </row>
    <row r="484">
      <c r="B484" s="37"/>
      <c r="C484" s="37"/>
    </row>
    <row r="485">
      <c r="B485" s="37"/>
      <c r="C485" s="37"/>
    </row>
    <row r="486">
      <c r="B486" s="37"/>
      <c r="C486" s="37"/>
    </row>
    <row r="487">
      <c r="B487" s="37"/>
      <c r="C487" s="37"/>
    </row>
    <row r="488">
      <c r="B488" s="37"/>
      <c r="C488" s="37"/>
    </row>
    <row r="489">
      <c r="B489" s="37"/>
      <c r="C489" s="37"/>
    </row>
    <row r="490">
      <c r="B490" s="37"/>
      <c r="C490" s="37"/>
    </row>
    <row r="491">
      <c r="B491" s="37"/>
      <c r="C491" s="37"/>
    </row>
    <row r="492">
      <c r="B492" s="37"/>
      <c r="C492" s="37"/>
    </row>
    <row r="493">
      <c r="B493" s="37"/>
      <c r="C493" s="37"/>
    </row>
    <row r="494">
      <c r="B494" s="37"/>
      <c r="C494" s="37"/>
    </row>
    <row r="495">
      <c r="B495" s="37"/>
      <c r="C495" s="37"/>
    </row>
    <row r="496">
      <c r="B496" s="37"/>
      <c r="C496" s="37"/>
    </row>
    <row r="497">
      <c r="B497" s="37"/>
      <c r="C497" s="37"/>
    </row>
    <row r="498">
      <c r="B498" s="37"/>
      <c r="C498" s="37"/>
    </row>
    <row r="499">
      <c r="B499" s="37"/>
      <c r="C499" s="37"/>
    </row>
    <row r="500">
      <c r="B500" s="37"/>
      <c r="C500" s="37"/>
    </row>
    <row r="501">
      <c r="B501" s="37"/>
      <c r="C501" s="37"/>
    </row>
    <row r="502">
      <c r="B502" s="37"/>
      <c r="C502" s="37"/>
    </row>
    <row r="503">
      <c r="B503" s="37"/>
      <c r="C503" s="37"/>
    </row>
    <row r="504">
      <c r="B504" s="37"/>
      <c r="C504" s="37"/>
    </row>
    <row r="505">
      <c r="B505" s="37"/>
      <c r="C505" s="37"/>
    </row>
    <row r="506">
      <c r="B506" s="37"/>
      <c r="C506" s="37"/>
    </row>
    <row r="507">
      <c r="B507" s="37"/>
      <c r="C507" s="37"/>
    </row>
    <row r="508">
      <c r="B508" s="37"/>
      <c r="C508" s="37"/>
    </row>
    <row r="509">
      <c r="B509" s="37"/>
      <c r="C509" s="37"/>
    </row>
    <row r="510">
      <c r="B510" s="37"/>
      <c r="C510" s="37"/>
    </row>
    <row r="511">
      <c r="B511" s="37"/>
      <c r="C511" s="37"/>
    </row>
    <row r="512">
      <c r="B512" s="37"/>
      <c r="C512" s="37"/>
    </row>
    <row r="513">
      <c r="B513" s="37"/>
      <c r="C513" s="37"/>
    </row>
    <row r="514">
      <c r="B514" s="37"/>
      <c r="C514" s="37"/>
    </row>
    <row r="515">
      <c r="B515" s="37"/>
      <c r="C515" s="37"/>
    </row>
    <row r="516">
      <c r="B516" s="37"/>
      <c r="C516" s="37"/>
    </row>
    <row r="517">
      <c r="B517" s="37"/>
      <c r="C517" s="37"/>
    </row>
    <row r="518">
      <c r="B518" s="37"/>
      <c r="C518" s="37"/>
    </row>
    <row r="519">
      <c r="B519" s="37"/>
      <c r="C519" s="37"/>
    </row>
    <row r="520">
      <c r="B520" s="37"/>
      <c r="C520" s="37"/>
    </row>
    <row r="521">
      <c r="B521" s="37"/>
      <c r="C521" s="37"/>
    </row>
    <row r="522">
      <c r="B522" s="37"/>
      <c r="C522" s="37"/>
    </row>
    <row r="523">
      <c r="B523" s="37"/>
      <c r="C523" s="37"/>
    </row>
    <row r="524">
      <c r="B524" s="37"/>
      <c r="C524" s="37"/>
    </row>
    <row r="525">
      <c r="B525" s="37"/>
      <c r="C525" s="37"/>
    </row>
    <row r="526">
      <c r="B526" s="37"/>
      <c r="C526" s="37"/>
    </row>
    <row r="527">
      <c r="B527" s="37"/>
      <c r="C527" s="37"/>
    </row>
    <row r="528">
      <c r="B528" s="37"/>
      <c r="C528" s="37"/>
    </row>
    <row r="529">
      <c r="B529" s="37"/>
      <c r="C529" s="37"/>
    </row>
    <row r="530">
      <c r="B530" s="37"/>
      <c r="C530" s="37"/>
    </row>
    <row r="531">
      <c r="B531" s="37"/>
      <c r="C531" s="37"/>
    </row>
    <row r="532">
      <c r="B532" s="37"/>
      <c r="C532" s="37"/>
    </row>
    <row r="533">
      <c r="B533" s="37"/>
      <c r="C533" s="37"/>
    </row>
    <row r="534">
      <c r="B534" s="37"/>
      <c r="C534" s="37"/>
    </row>
    <row r="535">
      <c r="B535" s="37"/>
      <c r="C535" s="37"/>
    </row>
    <row r="536">
      <c r="B536" s="37"/>
      <c r="C536" s="37"/>
    </row>
    <row r="537">
      <c r="B537" s="37"/>
      <c r="C537" s="37"/>
    </row>
    <row r="538">
      <c r="B538" s="37"/>
      <c r="C538" s="37"/>
    </row>
    <row r="539">
      <c r="B539" s="37"/>
      <c r="C539" s="37"/>
    </row>
    <row r="540">
      <c r="B540" s="37"/>
      <c r="C540" s="37"/>
    </row>
    <row r="541">
      <c r="B541" s="37"/>
      <c r="C541" s="37"/>
    </row>
    <row r="542">
      <c r="B542" s="37"/>
      <c r="C542" s="37"/>
    </row>
    <row r="543">
      <c r="B543" s="37"/>
      <c r="C543" s="37"/>
    </row>
    <row r="544">
      <c r="B544" s="37"/>
      <c r="C544" s="37"/>
    </row>
    <row r="545">
      <c r="B545" s="37"/>
      <c r="C545" s="37"/>
    </row>
    <row r="546">
      <c r="B546" s="37"/>
      <c r="C546" s="37"/>
    </row>
    <row r="547">
      <c r="B547" s="37"/>
      <c r="C547" s="37"/>
    </row>
    <row r="548">
      <c r="B548" s="37"/>
      <c r="C548" s="37"/>
    </row>
    <row r="549">
      <c r="B549" s="37"/>
      <c r="C549" s="37"/>
    </row>
    <row r="550">
      <c r="B550" s="37"/>
      <c r="C550" s="37"/>
    </row>
    <row r="551">
      <c r="B551" s="37"/>
      <c r="C551" s="37"/>
    </row>
    <row r="552">
      <c r="B552" s="37"/>
      <c r="C552" s="37"/>
    </row>
    <row r="553">
      <c r="B553" s="37"/>
      <c r="C553" s="37"/>
    </row>
    <row r="554">
      <c r="B554" s="37"/>
      <c r="C554" s="37"/>
    </row>
    <row r="555">
      <c r="B555" s="37"/>
      <c r="C555" s="37"/>
    </row>
    <row r="556">
      <c r="B556" s="37"/>
      <c r="C556" s="37"/>
    </row>
    <row r="557">
      <c r="B557" s="37"/>
      <c r="C557" s="37"/>
    </row>
    <row r="558">
      <c r="B558" s="37"/>
      <c r="C558" s="37"/>
    </row>
    <row r="559">
      <c r="B559" s="37"/>
      <c r="C559" s="37"/>
    </row>
    <row r="560">
      <c r="B560" s="37"/>
      <c r="C560" s="37"/>
    </row>
    <row r="561">
      <c r="B561" s="37"/>
      <c r="C561" s="37"/>
    </row>
    <row r="562">
      <c r="B562" s="37"/>
      <c r="C562" s="37"/>
    </row>
    <row r="563">
      <c r="B563" s="37"/>
      <c r="C563" s="37"/>
    </row>
    <row r="564">
      <c r="B564" s="37"/>
      <c r="C564" s="37"/>
    </row>
    <row r="565">
      <c r="B565" s="37"/>
      <c r="C565" s="37"/>
    </row>
    <row r="566">
      <c r="B566" s="37"/>
      <c r="C566" s="37"/>
    </row>
    <row r="567">
      <c r="B567" s="37"/>
      <c r="C567" s="37"/>
    </row>
    <row r="568">
      <c r="B568" s="37"/>
      <c r="C568" s="37"/>
    </row>
    <row r="569">
      <c r="B569" s="37"/>
      <c r="C569" s="37"/>
    </row>
    <row r="570">
      <c r="B570" s="37"/>
      <c r="C570" s="37"/>
    </row>
    <row r="571">
      <c r="B571" s="37"/>
      <c r="C571" s="37"/>
    </row>
    <row r="572">
      <c r="B572" s="37"/>
      <c r="C572" s="37"/>
    </row>
    <row r="573">
      <c r="B573" s="37"/>
      <c r="C573" s="37"/>
    </row>
    <row r="574">
      <c r="B574" s="37"/>
      <c r="C574" s="37"/>
    </row>
    <row r="575">
      <c r="B575" s="37"/>
      <c r="C575" s="37"/>
    </row>
    <row r="576">
      <c r="B576" s="37"/>
      <c r="C576" s="37"/>
    </row>
    <row r="577">
      <c r="B577" s="37"/>
      <c r="C577" s="37"/>
    </row>
    <row r="578">
      <c r="B578" s="37"/>
      <c r="C578" s="37"/>
    </row>
    <row r="579">
      <c r="B579" s="37"/>
      <c r="C579" s="37"/>
    </row>
    <row r="580">
      <c r="B580" s="37"/>
      <c r="C580" s="37"/>
    </row>
    <row r="581">
      <c r="B581" s="37"/>
      <c r="C581" s="37"/>
    </row>
    <row r="582">
      <c r="B582" s="37"/>
      <c r="C582" s="37"/>
    </row>
    <row r="583">
      <c r="B583" s="37"/>
      <c r="C583" s="37"/>
    </row>
    <row r="584">
      <c r="B584" s="37"/>
      <c r="C584" s="37"/>
    </row>
    <row r="585">
      <c r="B585" s="37"/>
      <c r="C585" s="37"/>
    </row>
    <row r="586">
      <c r="B586" s="37"/>
      <c r="C586" s="37"/>
    </row>
    <row r="587">
      <c r="B587" s="37"/>
      <c r="C587" s="37"/>
    </row>
    <row r="588">
      <c r="B588" s="37"/>
      <c r="C588" s="37"/>
    </row>
    <row r="589">
      <c r="B589" s="37"/>
      <c r="C589" s="37"/>
    </row>
    <row r="590">
      <c r="B590" s="37"/>
      <c r="C590" s="37"/>
    </row>
    <row r="591">
      <c r="B591" s="37"/>
      <c r="C591" s="37"/>
    </row>
    <row r="592">
      <c r="B592" s="37"/>
      <c r="C592" s="37"/>
    </row>
    <row r="593">
      <c r="B593" s="37"/>
      <c r="C593" s="37"/>
    </row>
    <row r="594">
      <c r="B594" s="37"/>
      <c r="C594" s="37"/>
    </row>
    <row r="595">
      <c r="B595" s="37"/>
      <c r="C595" s="37"/>
    </row>
    <row r="596">
      <c r="B596" s="37"/>
      <c r="C596" s="37"/>
    </row>
    <row r="597">
      <c r="B597" s="37"/>
      <c r="C597" s="37"/>
    </row>
    <row r="598">
      <c r="B598" s="37"/>
      <c r="C598" s="37"/>
    </row>
    <row r="599">
      <c r="B599" s="37"/>
      <c r="C599" s="37"/>
    </row>
    <row r="600">
      <c r="B600" s="37"/>
      <c r="C600" s="37"/>
    </row>
    <row r="601">
      <c r="B601" s="37"/>
      <c r="C601" s="37"/>
    </row>
    <row r="602">
      <c r="B602" s="37"/>
      <c r="C602" s="37"/>
    </row>
    <row r="603">
      <c r="B603" s="37"/>
      <c r="C603" s="37"/>
    </row>
    <row r="604">
      <c r="B604" s="37"/>
      <c r="C604" s="37"/>
    </row>
    <row r="605">
      <c r="B605" s="37"/>
      <c r="C605" s="37"/>
    </row>
    <row r="606">
      <c r="B606" s="37"/>
      <c r="C606" s="37"/>
    </row>
    <row r="607">
      <c r="B607" s="37"/>
      <c r="C607" s="37"/>
    </row>
    <row r="608">
      <c r="B608" s="37"/>
      <c r="C608" s="37"/>
    </row>
    <row r="609">
      <c r="B609" s="37"/>
      <c r="C609" s="37"/>
    </row>
    <row r="610">
      <c r="B610" s="37"/>
      <c r="C610" s="37"/>
    </row>
    <row r="611">
      <c r="B611" s="37"/>
      <c r="C611" s="37"/>
    </row>
    <row r="612">
      <c r="B612" s="37"/>
      <c r="C612" s="37"/>
    </row>
    <row r="613">
      <c r="B613" s="37"/>
      <c r="C613" s="37"/>
    </row>
    <row r="614">
      <c r="B614" s="37"/>
      <c r="C614" s="37"/>
    </row>
    <row r="615">
      <c r="B615" s="37"/>
      <c r="C615" s="37"/>
    </row>
    <row r="616">
      <c r="B616" s="37"/>
      <c r="C616" s="37"/>
    </row>
    <row r="617">
      <c r="B617" s="37"/>
      <c r="C617" s="37"/>
    </row>
    <row r="618">
      <c r="B618" s="37"/>
      <c r="C618" s="37"/>
    </row>
    <row r="619">
      <c r="B619" s="37"/>
      <c r="C619" s="37"/>
    </row>
    <row r="620">
      <c r="B620" s="37"/>
      <c r="C620" s="37"/>
    </row>
    <row r="621">
      <c r="B621" s="37"/>
      <c r="C621" s="37"/>
    </row>
    <row r="622">
      <c r="B622" s="37"/>
      <c r="C622" s="37"/>
    </row>
    <row r="623">
      <c r="B623" s="37"/>
      <c r="C623" s="37"/>
    </row>
    <row r="624">
      <c r="B624" s="37"/>
      <c r="C624" s="37"/>
    </row>
    <row r="625">
      <c r="B625" s="37"/>
      <c r="C625" s="37"/>
    </row>
    <row r="626">
      <c r="B626" s="37"/>
      <c r="C626" s="37"/>
    </row>
    <row r="627">
      <c r="B627" s="37"/>
      <c r="C627" s="37"/>
    </row>
    <row r="628">
      <c r="B628" s="37"/>
      <c r="C628" s="37"/>
    </row>
    <row r="629">
      <c r="B629" s="37"/>
      <c r="C629" s="37"/>
    </row>
    <row r="630">
      <c r="B630" s="37"/>
      <c r="C630" s="37"/>
    </row>
    <row r="631">
      <c r="B631" s="37"/>
      <c r="C631" s="37"/>
    </row>
    <row r="632">
      <c r="B632" s="37"/>
      <c r="C632" s="37"/>
    </row>
    <row r="633">
      <c r="B633" s="37"/>
      <c r="C633" s="37"/>
    </row>
    <row r="634">
      <c r="B634" s="37"/>
      <c r="C634" s="37"/>
    </row>
    <row r="635">
      <c r="B635" s="37"/>
      <c r="C635" s="37"/>
    </row>
    <row r="636">
      <c r="B636" s="37"/>
      <c r="C636" s="37"/>
    </row>
    <row r="637">
      <c r="B637" s="37"/>
      <c r="C637" s="37"/>
    </row>
    <row r="638">
      <c r="B638" s="37"/>
      <c r="C638" s="37"/>
    </row>
    <row r="639">
      <c r="B639" s="37"/>
      <c r="C639" s="37"/>
    </row>
    <row r="640">
      <c r="B640" s="37"/>
      <c r="C640" s="37"/>
    </row>
    <row r="641">
      <c r="B641" s="37"/>
      <c r="C641" s="37"/>
    </row>
    <row r="642">
      <c r="B642" s="37"/>
      <c r="C642" s="37"/>
    </row>
    <row r="643">
      <c r="B643" s="37"/>
      <c r="C643" s="37"/>
    </row>
    <row r="644">
      <c r="B644" s="37"/>
      <c r="C644" s="37"/>
    </row>
    <row r="645">
      <c r="B645" s="37"/>
      <c r="C645" s="37"/>
    </row>
    <row r="646">
      <c r="B646" s="37"/>
      <c r="C646" s="37"/>
    </row>
    <row r="647">
      <c r="B647" s="37"/>
      <c r="C647" s="37"/>
    </row>
    <row r="648">
      <c r="B648" s="37"/>
      <c r="C648" s="37"/>
    </row>
    <row r="649">
      <c r="B649" s="37"/>
      <c r="C649" s="37"/>
    </row>
    <row r="650">
      <c r="B650" s="37"/>
      <c r="C650" s="37"/>
    </row>
    <row r="651">
      <c r="B651" s="37"/>
      <c r="C651" s="37"/>
    </row>
    <row r="652">
      <c r="B652" s="37"/>
      <c r="C652" s="37"/>
    </row>
    <row r="653">
      <c r="B653" s="37"/>
      <c r="C653" s="37"/>
    </row>
    <row r="654">
      <c r="B654" s="37"/>
      <c r="C654" s="37"/>
    </row>
    <row r="655">
      <c r="B655" s="37"/>
      <c r="C655" s="37"/>
    </row>
    <row r="656">
      <c r="B656" s="37"/>
      <c r="C656" s="37"/>
    </row>
    <row r="657">
      <c r="B657" s="37"/>
      <c r="C657" s="37"/>
    </row>
    <row r="658">
      <c r="B658" s="37"/>
      <c r="C658" s="37"/>
    </row>
    <row r="659">
      <c r="B659" s="37"/>
      <c r="C659" s="37"/>
    </row>
    <row r="660">
      <c r="B660" s="37"/>
      <c r="C660" s="37"/>
    </row>
    <row r="661">
      <c r="B661" s="37"/>
      <c r="C661" s="37"/>
    </row>
    <row r="662">
      <c r="B662" s="37"/>
      <c r="C662" s="37"/>
    </row>
    <row r="663">
      <c r="B663" s="37"/>
      <c r="C663" s="37"/>
    </row>
    <row r="664">
      <c r="B664" s="37"/>
      <c r="C664" s="37"/>
    </row>
    <row r="665">
      <c r="B665" s="37"/>
      <c r="C665" s="37"/>
    </row>
    <row r="666">
      <c r="B666" s="37"/>
      <c r="C666" s="37"/>
    </row>
    <row r="667">
      <c r="B667" s="37"/>
      <c r="C667" s="37"/>
    </row>
    <row r="668">
      <c r="B668" s="37"/>
      <c r="C668" s="37"/>
    </row>
    <row r="669">
      <c r="B669" s="37"/>
      <c r="C669" s="37"/>
    </row>
    <row r="670">
      <c r="B670" s="37"/>
      <c r="C670" s="37"/>
    </row>
    <row r="671">
      <c r="B671" s="37"/>
      <c r="C671" s="37"/>
    </row>
    <row r="672">
      <c r="B672" s="37"/>
      <c r="C672" s="37"/>
    </row>
    <row r="673">
      <c r="B673" s="37"/>
      <c r="C673" s="37"/>
    </row>
    <row r="674">
      <c r="B674" s="37"/>
      <c r="C674" s="37"/>
    </row>
    <row r="675">
      <c r="B675" s="37"/>
      <c r="C675" s="37"/>
    </row>
    <row r="676">
      <c r="B676" s="37"/>
      <c r="C676" s="37"/>
    </row>
    <row r="677">
      <c r="B677" s="37"/>
      <c r="C677" s="37"/>
    </row>
    <row r="678">
      <c r="B678" s="37"/>
      <c r="C678" s="37"/>
    </row>
    <row r="679">
      <c r="B679" s="37"/>
      <c r="C679" s="37"/>
    </row>
    <row r="680">
      <c r="B680" s="37"/>
      <c r="C680" s="37"/>
    </row>
    <row r="681">
      <c r="B681" s="37"/>
      <c r="C681" s="37"/>
    </row>
    <row r="682">
      <c r="B682" s="37"/>
      <c r="C682" s="37"/>
    </row>
    <row r="683">
      <c r="B683" s="37"/>
      <c r="C683" s="37"/>
    </row>
    <row r="684">
      <c r="B684" s="37"/>
      <c r="C684" s="37"/>
    </row>
    <row r="685">
      <c r="B685" s="37"/>
      <c r="C685" s="37"/>
    </row>
    <row r="686">
      <c r="B686" s="37"/>
      <c r="C686" s="37"/>
    </row>
    <row r="687">
      <c r="B687" s="37"/>
      <c r="C687" s="37"/>
    </row>
    <row r="688">
      <c r="B688" s="37"/>
      <c r="C688" s="37"/>
    </row>
    <row r="689">
      <c r="B689" s="37"/>
      <c r="C689" s="37"/>
    </row>
    <row r="690">
      <c r="B690" s="37"/>
      <c r="C690" s="37"/>
    </row>
    <row r="691">
      <c r="B691" s="37"/>
      <c r="C691" s="37"/>
    </row>
    <row r="692">
      <c r="B692" s="37"/>
      <c r="C692" s="37"/>
    </row>
    <row r="693">
      <c r="B693" s="37"/>
      <c r="C693" s="37"/>
    </row>
    <row r="694">
      <c r="B694" s="37"/>
      <c r="C694" s="37"/>
    </row>
    <row r="695">
      <c r="B695" s="37"/>
      <c r="C695" s="37"/>
    </row>
    <row r="696">
      <c r="B696" s="37"/>
      <c r="C696" s="37"/>
    </row>
    <row r="697">
      <c r="B697" s="37"/>
      <c r="C697" s="37"/>
    </row>
    <row r="698">
      <c r="B698" s="37"/>
      <c r="C698" s="37"/>
    </row>
    <row r="699">
      <c r="B699" s="37"/>
      <c r="C699" s="37"/>
    </row>
    <row r="700">
      <c r="B700" s="37"/>
      <c r="C700" s="37"/>
    </row>
    <row r="701">
      <c r="B701" s="37"/>
      <c r="C701" s="37"/>
    </row>
    <row r="702">
      <c r="B702" s="37"/>
      <c r="C702" s="37"/>
    </row>
    <row r="703">
      <c r="B703" s="37"/>
      <c r="C703" s="37"/>
    </row>
    <row r="704">
      <c r="B704" s="37"/>
      <c r="C704" s="37"/>
    </row>
    <row r="705">
      <c r="B705" s="37"/>
      <c r="C705" s="37"/>
    </row>
    <row r="706">
      <c r="B706" s="37"/>
      <c r="C706" s="37"/>
    </row>
    <row r="707">
      <c r="B707" s="37"/>
      <c r="C707" s="37"/>
    </row>
    <row r="708">
      <c r="B708" s="37"/>
      <c r="C708" s="37"/>
    </row>
    <row r="709">
      <c r="B709" s="37"/>
      <c r="C709" s="37"/>
    </row>
    <row r="710">
      <c r="B710" s="37"/>
      <c r="C710" s="37"/>
    </row>
    <row r="711">
      <c r="B711" s="37"/>
      <c r="C711" s="37"/>
    </row>
    <row r="712">
      <c r="B712" s="37"/>
      <c r="C712" s="37"/>
    </row>
    <row r="713">
      <c r="B713" s="37"/>
      <c r="C713" s="37"/>
    </row>
    <row r="714">
      <c r="B714" s="37"/>
      <c r="C714" s="37"/>
    </row>
    <row r="715">
      <c r="B715" s="37"/>
      <c r="C715" s="37"/>
    </row>
    <row r="716">
      <c r="B716" s="37"/>
      <c r="C716" s="37"/>
    </row>
    <row r="717">
      <c r="B717" s="37"/>
      <c r="C717" s="37"/>
    </row>
    <row r="718">
      <c r="B718" s="37"/>
      <c r="C718" s="37"/>
    </row>
    <row r="719">
      <c r="B719" s="37"/>
      <c r="C719" s="37"/>
    </row>
    <row r="720">
      <c r="B720" s="37"/>
      <c r="C720" s="37"/>
    </row>
    <row r="721">
      <c r="B721" s="37"/>
      <c r="C721" s="37"/>
    </row>
    <row r="722">
      <c r="B722" s="37"/>
      <c r="C722" s="37"/>
    </row>
    <row r="723">
      <c r="B723" s="37"/>
      <c r="C723" s="37"/>
    </row>
    <row r="724">
      <c r="B724" s="37"/>
      <c r="C724" s="37"/>
    </row>
    <row r="725">
      <c r="B725" s="37"/>
      <c r="C725" s="37"/>
    </row>
    <row r="726">
      <c r="B726" s="37"/>
      <c r="C726" s="37"/>
    </row>
    <row r="727">
      <c r="B727" s="37"/>
      <c r="C727" s="37"/>
    </row>
    <row r="728">
      <c r="B728" s="37"/>
      <c r="C728" s="37"/>
    </row>
    <row r="729">
      <c r="B729" s="37"/>
      <c r="C729" s="37"/>
    </row>
    <row r="730">
      <c r="B730" s="37"/>
      <c r="C730" s="37"/>
    </row>
    <row r="731">
      <c r="B731" s="37"/>
      <c r="C731" s="37"/>
    </row>
    <row r="732">
      <c r="B732" s="37"/>
      <c r="C732" s="37"/>
    </row>
    <row r="733">
      <c r="B733" s="37"/>
      <c r="C733" s="37"/>
    </row>
    <row r="734">
      <c r="B734" s="37"/>
      <c r="C734" s="37"/>
    </row>
    <row r="735">
      <c r="B735" s="37"/>
      <c r="C735" s="37"/>
    </row>
    <row r="736">
      <c r="B736" s="37"/>
      <c r="C736" s="37"/>
    </row>
    <row r="737">
      <c r="B737" s="37"/>
      <c r="C737" s="37"/>
    </row>
    <row r="738">
      <c r="B738" s="37"/>
      <c r="C738" s="37"/>
    </row>
    <row r="739">
      <c r="B739" s="37"/>
      <c r="C739" s="37"/>
    </row>
    <row r="740">
      <c r="B740" s="37"/>
      <c r="C740" s="37"/>
    </row>
    <row r="741">
      <c r="B741" s="37"/>
      <c r="C741" s="37"/>
    </row>
    <row r="742">
      <c r="B742" s="37"/>
      <c r="C742" s="37"/>
    </row>
    <row r="743">
      <c r="B743" s="37"/>
      <c r="C743" s="37"/>
    </row>
    <row r="744">
      <c r="B744" s="37"/>
      <c r="C744" s="37"/>
    </row>
    <row r="745">
      <c r="B745" s="37"/>
      <c r="C745" s="37"/>
    </row>
    <row r="746">
      <c r="B746" s="37"/>
      <c r="C746" s="37"/>
    </row>
    <row r="747">
      <c r="B747" s="37"/>
      <c r="C747" s="37"/>
    </row>
    <row r="748">
      <c r="B748" s="37"/>
      <c r="C748" s="37"/>
    </row>
    <row r="749">
      <c r="B749" s="37"/>
      <c r="C749" s="37"/>
    </row>
    <row r="750">
      <c r="B750" s="37"/>
      <c r="C750" s="37"/>
    </row>
    <row r="751">
      <c r="B751" s="37"/>
      <c r="C751" s="37"/>
    </row>
    <row r="752">
      <c r="B752" s="37"/>
      <c r="C752" s="37"/>
    </row>
    <row r="753">
      <c r="B753" s="37"/>
      <c r="C753" s="37"/>
    </row>
    <row r="754">
      <c r="B754" s="37"/>
      <c r="C754" s="37"/>
    </row>
    <row r="755">
      <c r="B755" s="37"/>
      <c r="C755" s="37"/>
    </row>
    <row r="756">
      <c r="B756" s="37"/>
      <c r="C756" s="37"/>
    </row>
    <row r="757">
      <c r="B757" s="37"/>
      <c r="C757" s="37"/>
    </row>
    <row r="758">
      <c r="B758" s="37"/>
      <c r="C758" s="37"/>
    </row>
    <row r="759">
      <c r="B759" s="37"/>
      <c r="C759" s="37"/>
    </row>
    <row r="760">
      <c r="B760" s="37"/>
      <c r="C760" s="37"/>
    </row>
    <row r="761">
      <c r="B761" s="37"/>
      <c r="C761" s="37"/>
    </row>
    <row r="762">
      <c r="B762" s="37"/>
      <c r="C762" s="37"/>
    </row>
    <row r="763">
      <c r="B763" s="37"/>
      <c r="C763" s="37"/>
    </row>
    <row r="764">
      <c r="B764" s="37"/>
      <c r="C764" s="37"/>
    </row>
    <row r="765">
      <c r="B765" s="37"/>
      <c r="C765" s="37"/>
    </row>
    <row r="766">
      <c r="B766" s="37"/>
      <c r="C766" s="37"/>
    </row>
    <row r="767">
      <c r="B767" s="37"/>
      <c r="C767" s="37"/>
    </row>
    <row r="768">
      <c r="B768" s="37"/>
      <c r="C768" s="37"/>
    </row>
    <row r="769">
      <c r="B769" s="37"/>
      <c r="C769" s="37"/>
    </row>
    <row r="770">
      <c r="B770" s="37"/>
      <c r="C770" s="37"/>
    </row>
    <row r="771">
      <c r="B771" s="37"/>
      <c r="C771" s="37"/>
    </row>
    <row r="772">
      <c r="B772" s="37"/>
      <c r="C772" s="37"/>
    </row>
    <row r="773">
      <c r="B773" s="37"/>
      <c r="C773" s="37"/>
    </row>
    <row r="774">
      <c r="B774" s="37"/>
      <c r="C774" s="37"/>
    </row>
    <row r="775">
      <c r="B775" s="37"/>
      <c r="C775" s="37"/>
    </row>
    <row r="776">
      <c r="B776" s="37"/>
      <c r="C776" s="37"/>
    </row>
    <row r="777">
      <c r="B777" s="37"/>
      <c r="C777" s="37"/>
    </row>
    <row r="778">
      <c r="B778" s="37"/>
      <c r="C778" s="37"/>
    </row>
    <row r="779">
      <c r="B779" s="37"/>
      <c r="C779" s="37"/>
    </row>
    <row r="780">
      <c r="B780" s="37"/>
      <c r="C780" s="37"/>
    </row>
    <row r="781">
      <c r="B781" s="37"/>
      <c r="C781" s="37"/>
    </row>
    <row r="782">
      <c r="B782" s="37"/>
      <c r="C782" s="37"/>
    </row>
    <row r="783">
      <c r="B783" s="37"/>
      <c r="C783" s="37"/>
    </row>
    <row r="784">
      <c r="B784" s="37"/>
      <c r="C784" s="37"/>
    </row>
    <row r="785">
      <c r="B785" s="37"/>
      <c r="C785" s="37"/>
    </row>
    <row r="786">
      <c r="B786" s="37"/>
      <c r="C786" s="37"/>
    </row>
    <row r="787">
      <c r="B787" s="37"/>
      <c r="C787" s="37"/>
    </row>
    <row r="788">
      <c r="B788" s="37"/>
      <c r="C788" s="37"/>
    </row>
    <row r="789">
      <c r="B789" s="37"/>
      <c r="C789" s="37"/>
    </row>
    <row r="790">
      <c r="B790" s="37"/>
      <c r="C790" s="37"/>
    </row>
    <row r="791">
      <c r="B791" s="37"/>
      <c r="C791" s="37"/>
    </row>
    <row r="792">
      <c r="B792" s="37"/>
      <c r="C792" s="37"/>
    </row>
    <row r="793">
      <c r="B793" s="37"/>
      <c r="C793" s="37"/>
    </row>
    <row r="794">
      <c r="B794" s="37"/>
      <c r="C794" s="37"/>
    </row>
    <row r="795">
      <c r="B795" s="37"/>
      <c r="C795" s="37"/>
    </row>
    <row r="796">
      <c r="B796" s="37"/>
      <c r="C796" s="37"/>
    </row>
    <row r="797">
      <c r="B797" s="37"/>
      <c r="C797" s="37"/>
    </row>
    <row r="798">
      <c r="B798" s="37"/>
      <c r="C798" s="37"/>
    </row>
    <row r="799">
      <c r="B799" s="37"/>
      <c r="C799" s="37"/>
    </row>
    <row r="800">
      <c r="B800" s="37"/>
      <c r="C800" s="37"/>
    </row>
    <row r="801">
      <c r="B801" s="37"/>
      <c r="C801" s="37"/>
    </row>
    <row r="802">
      <c r="B802" s="37"/>
      <c r="C802" s="37"/>
    </row>
    <row r="803">
      <c r="B803" s="37"/>
      <c r="C803" s="37"/>
    </row>
    <row r="804">
      <c r="B804" s="37"/>
      <c r="C804" s="37"/>
    </row>
    <row r="805">
      <c r="B805" s="37"/>
      <c r="C805" s="37"/>
    </row>
    <row r="806">
      <c r="B806" s="37"/>
      <c r="C806" s="37"/>
    </row>
    <row r="807">
      <c r="B807" s="37"/>
      <c r="C807" s="37"/>
    </row>
    <row r="808">
      <c r="B808" s="37"/>
      <c r="C808" s="37"/>
    </row>
    <row r="809">
      <c r="B809" s="37"/>
      <c r="C809" s="37"/>
    </row>
    <row r="810">
      <c r="B810" s="37"/>
      <c r="C810" s="37"/>
    </row>
    <row r="811">
      <c r="B811" s="37"/>
      <c r="C811" s="37"/>
    </row>
    <row r="812">
      <c r="B812" s="37"/>
      <c r="C812" s="37"/>
    </row>
    <row r="813">
      <c r="B813" s="37"/>
      <c r="C813" s="37"/>
    </row>
    <row r="814">
      <c r="B814" s="37"/>
      <c r="C814" s="37"/>
    </row>
    <row r="815">
      <c r="B815" s="37"/>
      <c r="C815" s="37"/>
    </row>
    <row r="816">
      <c r="B816" s="37"/>
      <c r="C816" s="37"/>
    </row>
    <row r="817">
      <c r="B817" s="37"/>
      <c r="C817" s="37"/>
    </row>
    <row r="818">
      <c r="B818" s="37"/>
      <c r="C818" s="37"/>
    </row>
    <row r="819">
      <c r="B819" s="37"/>
      <c r="C819" s="37"/>
    </row>
    <row r="820">
      <c r="B820" s="37"/>
      <c r="C820" s="37"/>
    </row>
    <row r="821">
      <c r="B821" s="37"/>
      <c r="C821" s="37"/>
    </row>
    <row r="822">
      <c r="B822" s="37"/>
      <c r="C822" s="37"/>
    </row>
    <row r="823">
      <c r="B823" s="37"/>
      <c r="C823" s="37"/>
    </row>
    <row r="824">
      <c r="B824" s="37"/>
      <c r="C824" s="37"/>
    </row>
    <row r="825">
      <c r="B825" s="37"/>
      <c r="C825" s="37"/>
    </row>
    <row r="826">
      <c r="B826" s="37"/>
      <c r="C826" s="37"/>
    </row>
    <row r="827">
      <c r="B827" s="37"/>
      <c r="C827" s="37"/>
    </row>
    <row r="828">
      <c r="B828" s="37"/>
      <c r="C828" s="37"/>
    </row>
    <row r="829">
      <c r="B829" s="37"/>
      <c r="C829" s="37"/>
    </row>
    <row r="830">
      <c r="B830" s="37"/>
      <c r="C830" s="37"/>
    </row>
    <row r="831">
      <c r="B831" s="37"/>
      <c r="C831" s="37"/>
    </row>
    <row r="832">
      <c r="B832" s="37"/>
      <c r="C832" s="37"/>
    </row>
    <row r="833">
      <c r="B833" s="37"/>
      <c r="C833" s="37"/>
    </row>
    <row r="834">
      <c r="B834" s="37"/>
      <c r="C834" s="37"/>
    </row>
    <row r="835">
      <c r="B835" s="37"/>
      <c r="C835" s="37"/>
    </row>
    <row r="836">
      <c r="B836" s="37"/>
      <c r="C836" s="37"/>
    </row>
    <row r="837">
      <c r="B837" s="37"/>
      <c r="C837" s="37"/>
    </row>
    <row r="838">
      <c r="B838" s="37"/>
      <c r="C838" s="37"/>
    </row>
    <row r="839">
      <c r="B839" s="37"/>
      <c r="C839" s="37"/>
    </row>
    <row r="840">
      <c r="B840" s="37"/>
      <c r="C840" s="37"/>
    </row>
    <row r="841">
      <c r="B841" s="37"/>
      <c r="C841" s="37"/>
    </row>
    <row r="842">
      <c r="B842" s="37"/>
      <c r="C842" s="37"/>
    </row>
    <row r="843">
      <c r="B843" s="37"/>
      <c r="C843" s="37"/>
    </row>
    <row r="844">
      <c r="B844" s="37"/>
      <c r="C844" s="37"/>
    </row>
    <row r="845">
      <c r="B845" s="37"/>
      <c r="C845" s="37"/>
    </row>
    <row r="846">
      <c r="B846" s="37"/>
      <c r="C846" s="37"/>
    </row>
    <row r="847">
      <c r="B847" s="37"/>
      <c r="C847" s="37"/>
    </row>
    <row r="848">
      <c r="B848" s="37"/>
      <c r="C848" s="37"/>
    </row>
    <row r="849">
      <c r="B849" s="37"/>
      <c r="C849" s="37"/>
    </row>
    <row r="850">
      <c r="B850" s="37"/>
      <c r="C850" s="37"/>
    </row>
    <row r="851">
      <c r="B851" s="37"/>
      <c r="C851" s="37"/>
    </row>
    <row r="852">
      <c r="B852" s="37"/>
      <c r="C852" s="37"/>
    </row>
    <row r="853">
      <c r="B853" s="37"/>
      <c r="C853" s="37"/>
    </row>
    <row r="854">
      <c r="B854" s="37"/>
      <c r="C854" s="37"/>
    </row>
    <row r="855">
      <c r="B855" s="37"/>
      <c r="C855" s="37"/>
    </row>
    <row r="856">
      <c r="B856" s="37"/>
      <c r="C856" s="37"/>
    </row>
    <row r="857">
      <c r="B857" s="37"/>
      <c r="C857" s="37"/>
    </row>
    <row r="858">
      <c r="B858" s="37"/>
      <c r="C858" s="37"/>
    </row>
    <row r="859">
      <c r="B859" s="37"/>
      <c r="C859" s="37"/>
    </row>
    <row r="860">
      <c r="B860" s="37"/>
      <c r="C860" s="37"/>
    </row>
    <row r="861">
      <c r="B861" s="37"/>
      <c r="C861" s="37"/>
    </row>
    <row r="862">
      <c r="B862" s="37"/>
      <c r="C862" s="37"/>
    </row>
    <row r="863">
      <c r="B863" s="37"/>
      <c r="C863" s="37"/>
    </row>
    <row r="864">
      <c r="B864" s="37"/>
      <c r="C864" s="37"/>
    </row>
    <row r="865">
      <c r="B865" s="37"/>
      <c r="C865" s="37"/>
    </row>
    <row r="866">
      <c r="B866" s="37"/>
      <c r="C866" s="37"/>
    </row>
    <row r="867">
      <c r="B867" s="37"/>
      <c r="C867" s="37"/>
    </row>
    <row r="868">
      <c r="B868" s="37"/>
      <c r="C868" s="37"/>
    </row>
    <row r="869">
      <c r="B869" s="37"/>
      <c r="C869" s="37"/>
    </row>
    <row r="870">
      <c r="B870" s="37"/>
      <c r="C870" s="37"/>
    </row>
    <row r="871">
      <c r="B871" s="37"/>
      <c r="C871" s="37"/>
    </row>
    <row r="872">
      <c r="B872" s="37"/>
      <c r="C872" s="37"/>
    </row>
    <row r="873">
      <c r="B873" s="37"/>
      <c r="C873" s="37"/>
    </row>
    <row r="874">
      <c r="B874" s="37"/>
      <c r="C874" s="37"/>
    </row>
    <row r="875">
      <c r="B875" s="37"/>
      <c r="C875" s="37"/>
    </row>
    <row r="876">
      <c r="B876" s="37"/>
      <c r="C876" s="37"/>
    </row>
    <row r="877">
      <c r="B877" s="37"/>
      <c r="C877" s="37"/>
    </row>
    <row r="878">
      <c r="B878" s="37"/>
      <c r="C878" s="37"/>
    </row>
    <row r="879">
      <c r="B879" s="37"/>
      <c r="C879" s="37"/>
    </row>
    <row r="880">
      <c r="B880" s="37"/>
      <c r="C880" s="37"/>
    </row>
    <row r="881">
      <c r="B881" s="37"/>
      <c r="C881" s="37"/>
    </row>
    <row r="882">
      <c r="B882" s="37"/>
      <c r="C882" s="37"/>
    </row>
    <row r="883">
      <c r="B883" s="37"/>
      <c r="C883" s="37"/>
    </row>
    <row r="884">
      <c r="B884" s="37"/>
      <c r="C884" s="37"/>
    </row>
    <row r="885">
      <c r="B885" s="37"/>
      <c r="C885" s="37"/>
    </row>
    <row r="886">
      <c r="B886" s="37"/>
      <c r="C886" s="37"/>
    </row>
    <row r="887">
      <c r="B887" s="37"/>
      <c r="C887" s="37"/>
    </row>
    <row r="888">
      <c r="B888" s="37"/>
      <c r="C888" s="37"/>
    </row>
    <row r="889">
      <c r="B889" s="37"/>
      <c r="C889" s="37"/>
    </row>
    <row r="890">
      <c r="B890" s="37"/>
      <c r="C890" s="37"/>
    </row>
    <row r="891">
      <c r="B891" s="37"/>
      <c r="C891" s="37"/>
    </row>
    <row r="892">
      <c r="B892" s="37"/>
      <c r="C892" s="37"/>
    </row>
    <row r="893">
      <c r="B893" s="37"/>
      <c r="C893" s="37"/>
    </row>
    <row r="894">
      <c r="B894" s="37"/>
      <c r="C894" s="37"/>
    </row>
    <row r="895">
      <c r="B895" s="37"/>
      <c r="C895" s="37"/>
    </row>
    <row r="896">
      <c r="B896" s="37"/>
      <c r="C896" s="37"/>
    </row>
    <row r="897">
      <c r="B897" s="37"/>
      <c r="C897" s="37"/>
    </row>
    <row r="898">
      <c r="B898" s="37"/>
      <c r="C898" s="37"/>
    </row>
    <row r="899">
      <c r="B899" s="37"/>
      <c r="C899" s="37"/>
    </row>
    <row r="900">
      <c r="B900" s="37"/>
      <c r="C900" s="37"/>
    </row>
    <row r="901">
      <c r="B901" s="37"/>
      <c r="C901" s="37"/>
    </row>
    <row r="902">
      <c r="B902" s="37"/>
      <c r="C902" s="37"/>
    </row>
    <row r="903">
      <c r="B903" s="37"/>
      <c r="C903" s="37"/>
    </row>
    <row r="904">
      <c r="B904" s="37"/>
      <c r="C904" s="37"/>
    </row>
    <row r="905">
      <c r="B905" s="37"/>
      <c r="C905" s="37"/>
    </row>
    <row r="906">
      <c r="B906" s="37"/>
      <c r="C906" s="37"/>
    </row>
    <row r="907">
      <c r="B907" s="37"/>
      <c r="C907" s="37"/>
    </row>
    <row r="908">
      <c r="B908" s="37"/>
      <c r="C908" s="37"/>
    </row>
    <row r="909">
      <c r="B909" s="37"/>
      <c r="C909" s="37"/>
    </row>
    <row r="910">
      <c r="B910" s="37"/>
      <c r="C910" s="37"/>
    </row>
    <row r="911">
      <c r="B911" s="37"/>
      <c r="C911" s="37"/>
    </row>
    <row r="912">
      <c r="B912" s="37"/>
      <c r="C912" s="37"/>
    </row>
    <row r="913">
      <c r="B913" s="37"/>
      <c r="C913" s="37"/>
    </row>
    <row r="914">
      <c r="B914" s="37"/>
      <c r="C914" s="37"/>
    </row>
    <row r="915">
      <c r="B915" s="37"/>
      <c r="C915" s="37"/>
    </row>
    <row r="916">
      <c r="B916" s="37"/>
      <c r="C916" s="37"/>
    </row>
    <row r="917">
      <c r="B917" s="37"/>
      <c r="C917" s="37"/>
    </row>
    <row r="918">
      <c r="B918" s="37"/>
      <c r="C918" s="37"/>
    </row>
    <row r="919">
      <c r="B919" s="37"/>
      <c r="C919" s="37"/>
    </row>
    <row r="920">
      <c r="B920" s="37"/>
      <c r="C920" s="37"/>
    </row>
    <row r="921">
      <c r="B921" s="37"/>
      <c r="C921" s="37"/>
    </row>
    <row r="922">
      <c r="B922" s="37"/>
      <c r="C922" s="37"/>
    </row>
    <row r="923">
      <c r="B923" s="37"/>
      <c r="C923" s="37"/>
    </row>
    <row r="924">
      <c r="B924" s="37"/>
      <c r="C924" s="37"/>
    </row>
    <row r="925">
      <c r="B925" s="37"/>
      <c r="C925" s="37"/>
    </row>
    <row r="926">
      <c r="B926" s="37"/>
      <c r="C926" s="37"/>
    </row>
    <row r="927">
      <c r="B927" s="37"/>
      <c r="C927" s="37"/>
    </row>
    <row r="928">
      <c r="B928" s="37"/>
      <c r="C928" s="37"/>
    </row>
    <row r="929">
      <c r="B929" s="37"/>
      <c r="C929" s="37"/>
    </row>
    <row r="930">
      <c r="B930" s="37"/>
      <c r="C930" s="37"/>
    </row>
    <row r="931">
      <c r="B931" s="37"/>
      <c r="C931" s="37"/>
    </row>
    <row r="932">
      <c r="B932" s="37"/>
      <c r="C932" s="37"/>
    </row>
    <row r="933">
      <c r="B933" s="37"/>
      <c r="C933" s="37"/>
    </row>
    <row r="934">
      <c r="B934" s="37"/>
      <c r="C934" s="37"/>
    </row>
    <row r="935">
      <c r="B935" s="37"/>
      <c r="C935" s="37"/>
    </row>
    <row r="936">
      <c r="B936" s="37"/>
      <c r="C936" s="37"/>
    </row>
    <row r="937">
      <c r="B937" s="37"/>
      <c r="C937" s="37"/>
    </row>
    <row r="938">
      <c r="B938" s="37"/>
      <c r="C938" s="37"/>
    </row>
    <row r="939">
      <c r="B939" s="37"/>
      <c r="C939" s="37"/>
    </row>
    <row r="940">
      <c r="B940" s="37"/>
      <c r="C940" s="37"/>
    </row>
    <row r="941">
      <c r="B941" s="37"/>
      <c r="C941" s="37"/>
    </row>
    <row r="942">
      <c r="B942" s="37"/>
      <c r="C942" s="37"/>
    </row>
    <row r="943">
      <c r="B943" s="37"/>
      <c r="C943" s="37"/>
    </row>
    <row r="944">
      <c r="B944" s="37"/>
      <c r="C944" s="37"/>
    </row>
    <row r="945">
      <c r="B945" s="37"/>
      <c r="C945" s="37"/>
    </row>
    <row r="946">
      <c r="B946" s="37"/>
      <c r="C946" s="37"/>
    </row>
    <row r="947">
      <c r="B947" s="37"/>
      <c r="C947" s="37"/>
    </row>
    <row r="948">
      <c r="B948" s="37"/>
      <c r="C948" s="37"/>
    </row>
    <row r="949">
      <c r="B949" s="37"/>
      <c r="C949" s="37"/>
    </row>
    <row r="950">
      <c r="B950" s="37"/>
      <c r="C950" s="37"/>
    </row>
    <row r="951">
      <c r="B951" s="37"/>
      <c r="C951" s="37"/>
    </row>
    <row r="952">
      <c r="B952" s="37"/>
      <c r="C952" s="37"/>
    </row>
    <row r="953">
      <c r="B953" s="37"/>
      <c r="C953" s="37"/>
    </row>
    <row r="954">
      <c r="B954" s="37"/>
      <c r="C954" s="37"/>
    </row>
    <row r="955">
      <c r="B955" s="37"/>
      <c r="C955" s="37"/>
    </row>
    <row r="956">
      <c r="B956" s="37"/>
      <c r="C956" s="37"/>
    </row>
    <row r="957">
      <c r="B957" s="37"/>
      <c r="C957" s="37"/>
    </row>
    <row r="958">
      <c r="B958" s="37"/>
      <c r="C958" s="37"/>
    </row>
    <row r="959">
      <c r="B959" s="37"/>
      <c r="C959" s="37"/>
    </row>
    <row r="960">
      <c r="B960" s="37"/>
      <c r="C960" s="37"/>
    </row>
    <row r="961">
      <c r="B961" s="37"/>
      <c r="C961" s="37"/>
    </row>
    <row r="962">
      <c r="B962" s="37"/>
      <c r="C962" s="37"/>
    </row>
    <row r="963">
      <c r="B963" s="37"/>
      <c r="C963" s="37"/>
    </row>
    <row r="964">
      <c r="B964" s="37"/>
      <c r="C964" s="37"/>
    </row>
    <row r="965">
      <c r="B965" s="37"/>
      <c r="C965" s="37"/>
    </row>
    <row r="966">
      <c r="B966" s="37"/>
      <c r="C966" s="37"/>
    </row>
    <row r="967">
      <c r="B967" s="37"/>
      <c r="C967" s="37"/>
    </row>
    <row r="968">
      <c r="B968" s="37"/>
      <c r="C968" s="37"/>
    </row>
    <row r="969">
      <c r="B969" s="37"/>
      <c r="C969" s="37"/>
    </row>
    <row r="970">
      <c r="B970" s="37"/>
      <c r="C970" s="37"/>
    </row>
    <row r="971">
      <c r="B971" s="37"/>
      <c r="C971" s="37"/>
    </row>
    <row r="972">
      <c r="B972" s="37"/>
      <c r="C972" s="37"/>
    </row>
    <row r="973">
      <c r="B973" s="37"/>
      <c r="C973" s="37"/>
    </row>
    <row r="974">
      <c r="B974" s="37"/>
      <c r="C974" s="37"/>
    </row>
    <row r="975">
      <c r="B975" s="37"/>
      <c r="C975" s="37"/>
    </row>
    <row r="976">
      <c r="B976" s="37"/>
      <c r="C976" s="37"/>
    </row>
    <row r="977">
      <c r="B977" s="37"/>
      <c r="C977" s="37"/>
    </row>
    <row r="978">
      <c r="B978" s="37"/>
      <c r="C978" s="37"/>
    </row>
    <row r="979">
      <c r="B979" s="37"/>
      <c r="C979" s="37"/>
    </row>
    <row r="980">
      <c r="B980" s="37"/>
      <c r="C980" s="37"/>
    </row>
    <row r="981">
      <c r="B981" s="37"/>
      <c r="C981" s="37"/>
    </row>
    <row r="982">
      <c r="B982" s="37"/>
      <c r="C982" s="37"/>
    </row>
    <row r="983">
      <c r="B983" s="37"/>
      <c r="C983" s="37"/>
    </row>
    <row r="984">
      <c r="B984" s="37"/>
      <c r="C984" s="37"/>
    </row>
    <row r="985">
      <c r="B985" s="37"/>
      <c r="C985" s="37"/>
    </row>
    <row r="986">
      <c r="B986" s="37"/>
      <c r="C986" s="37"/>
    </row>
    <row r="987">
      <c r="B987" s="37"/>
      <c r="C987" s="37"/>
    </row>
    <row r="988">
      <c r="B988" s="37"/>
      <c r="C988" s="37"/>
    </row>
    <row r="989">
      <c r="B989" s="37"/>
      <c r="C989" s="37"/>
    </row>
    <row r="990">
      <c r="B990" s="37"/>
      <c r="C990" s="37"/>
    </row>
    <row r="991">
      <c r="B991" s="37"/>
      <c r="C991" s="37"/>
    </row>
    <row r="992">
      <c r="B992" s="37"/>
      <c r="C992" s="37"/>
    </row>
    <row r="993">
      <c r="B993" s="37"/>
      <c r="C993" s="37"/>
    </row>
    <row r="994">
      <c r="B994" s="37"/>
      <c r="C994" s="37"/>
    </row>
    <row r="995">
      <c r="B995" s="37"/>
      <c r="C995" s="37"/>
    </row>
    <row r="996">
      <c r="B996" s="37"/>
      <c r="C996" s="37"/>
    </row>
    <row r="997">
      <c r="B997" s="37"/>
      <c r="C997" s="37"/>
    </row>
    <row r="998">
      <c r="B998" s="37"/>
      <c r="C998" s="37"/>
    </row>
    <row r="999">
      <c r="B999" s="37"/>
      <c r="C999" s="37"/>
    </row>
    <row r="1000">
      <c r="B1000" s="37"/>
      <c r="C1000" s="37"/>
    </row>
    <row r="1001">
      <c r="B1001" s="37"/>
      <c r="C1001" s="37"/>
    </row>
    <row r="1002">
      <c r="B1002" s="37"/>
      <c r="C1002" s="37"/>
    </row>
    <row r="1003">
      <c r="B1003" s="37"/>
      <c r="C1003" s="37"/>
    </row>
    <row r="1004">
      <c r="B1004" s="37"/>
      <c r="C1004" s="37"/>
    </row>
    <row r="1005">
      <c r="B1005" s="37"/>
      <c r="C1005" s="37"/>
    </row>
    <row r="1006">
      <c r="B1006" s="37"/>
      <c r="C1006" s="37"/>
    </row>
    <row r="1007">
      <c r="B1007" s="37"/>
      <c r="C1007" s="37"/>
    </row>
    <row r="1008">
      <c r="B1008" s="37"/>
      <c r="C1008" s="37"/>
    </row>
    <row r="1009">
      <c r="B1009" s="37"/>
      <c r="C1009" s="37"/>
    </row>
    <row r="1010">
      <c r="B1010" s="37"/>
      <c r="C1010" s="37"/>
    </row>
    <row r="1011">
      <c r="B1011" s="37"/>
      <c r="C1011" s="37"/>
    </row>
    <row r="1012">
      <c r="B1012" s="37"/>
      <c r="C1012" s="37"/>
    </row>
    <row r="1013">
      <c r="B1013" s="37"/>
      <c r="C1013" s="37"/>
    </row>
  </sheetData>
  <mergeCells count="2">
    <mergeCell ref="A1:A2"/>
    <mergeCell ref="B1:C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.88"/>
    <col customWidth="1" min="3" max="3" width="4.13"/>
    <col customWidth="1" min="4" max="4" width="9.88"/>
    <col customWidth="1" min="5" max="5" width="8.25"/>
    <col customWidth="1" hidden="1" min="6" max="7" width="1.0"/>
    <col customWidth="1" hidden="1" min="8" max="8" width="4.13"/>
    <col customWidth="1" hidden="1" min="9" max="9" width="1.0"/>
    <col customWidth="1" hidden="1" min="10" max="11" width="2.88"/>
    <col customWidth="1" hidden="1" min="12" max="12" width="1.0"/>
    <col customWidth="1" hidden="1" min="13" max="13" width="1.88"/>
    <col customWidth="1" hidden="1" min="14" max="14" width="1.0"/>
    <col customWidth="1" hidden="1" min="15" max="15" width="2.88"/>
    <col customWidth="1" hidden="1" min="16" max="16" width="1.0"/>
    <col customWidth="1" hidden="1" min="17" max="17" width="2.88"/>
    <col customWidth="1" min="18" max="19" width="7.63"/>
  </cols>
  <sheetData>
    <row r="1" ht="15.0" customHeight="1">
      <c r="A1" s="60"/>
      <c r="B1" s="60"/>
      <c r="C1" s="60"/>
      <c r="D1" s="61"/>
      <c r="E1" s="61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</row>
    <row r="2" ht="15.0" customHeight="1">
      <c r="A2" s="64" t="s">
        <v>214</v>
      </c>
      <c r="B2" s="65"/>
      <c r="C2" s="18"/>
      <c r="D2" s="66">
        <v>2024.0</v>
      </c>
      <c r="E2" s="18"/>
      <c r="F2" s="62"/>
      <c r="G2" s="62"/>
      <c r="H2" s="62"/>
      <c r="I2" s="62"/>
      <c r="J2" s="62"/>
      <c r="K2" s="63"/>
      <c r="L2" s="63"/>
      <c r="M2" s="63"/>
      <c r="N2" s="63"/>
      <c r="O2" s="63"/>
      <c r="P2" s="63"/>
      <c r="Q2" s="63"/>
    </row>
    <row r="3" ht="15.0" customHeight="1">
      <c r="A3" s="67" t="s">
        <v>215</v>
      </c>
      <c r="B3" s="68"/>
      <c r="C3" s="69"/>
      <c r="D3" s="70" t="s">
        <v>216</v>
      </c>
      <c r="E3" s="70" t="s">
        <v>217</v>
      </c>
      <c r="F3" s="71" t="s">
        <v>218</v>
      </c>
      <c r="G3" s="68"/>
      <c r="H3" s="68"/>
      <c r="I3" s="68"/>
      <c r="J3" s="69"/>
      <c r="K3" s="72" t="s">
        <v>219</v>
      </c>
      <c r="L3" s="65"/>
      <c r="M3" s="65"/>
      <c r="N3" s="65"/>
      <c r="O3" s="65"/>
      <c r="P3" s="65"/>
      <c r="Q3" s="18"/>
    </row>
    <row r="4" ht="16.5" customHeight="1">
      <c r="A4" s="73"/>
      <c r="B4" s="74"/>
      <c r="C4" s="75"/>
      <c r="D4" s="20"/>
      <c r="E4" s="20"/>
      <c r="F4" s="73"/>
      <c r="G4" s="74"/>
      <c r="H4" s="74"/>
      <c r="I4" s="74"/>
      <c r="J4" s="75"/>
      <c r="K4" s="72" t="s">
        <v>220</v>
      </c>
      <c r="L4" s="65"/>
      <c r="M4" s="65"/>
      <c r="N4" s="18"/>
      <c r="O4" s="76" t="s">
        <v>221</v>
      </c>
      <c r="P4" s="65"/>
      <c r="Q4" s="18"/>
    </row>
    <row r="5" ht="8.25" customHeight="1">
      <c r="A5" s="77" t="s">
        <v>5</v>
      </c>
      <c r="B5" s="65"/>
      <c r="C5" s="18"/>
      <c r="D5" s="78">
        <v>3628938.0</v>
      </c>
      <c r="E5" s="79">
        <v>3625599.0</v>
      </c>
      <c r="F5" s="80">
        <v>4395321.0</v>
      </c>
      <c r="G5" s="65"/>
      <c r="H5" s="65"/>
      <c r="I5" s="65"/>
      <c r="J5" s="18"/>
      <c r="K5" s="80">
        <v>766383.0</v>
      </c>
      <c r="L5" s="65"/>
      <c r="M5" s="65"/>
      <c r="N5" s="18"/>
      <c r="O5" s="81">
        <v>0.211</v>
      </c>
      <c r="P5" s="65"/>
      <c r="Q5" s="18"/>
    </row>
    <row r="6" ht="8.25" customHeight="1">
      <c r="A6" s="77" t="s">
        <v>26</v>
      </c>
      <c r="B6" s="65"/>
      <c r="C6" s="18"/>
      <c r="D6" s="78">
        <v>391393.0</v>
      </c>
      <c r="E6" s="79">
        <v>387245.0</v>
      </c>
      <c r="F6" s="80">
        <v>453803.0</v>
      </c>
      <c r="G6" s="65"/>
      <c r="H6" s="65"/>
      <c r="I6" s="65"/>
      <c r="J6" s="18"/>
      <c r="K6" s="80">
        <v>62410.0</v>
      </c>
      <c r="L6" s="65"/>
      <c r="M6" s="65"/>
      <c r="N6" s="18"/>
      <c r="O6" s="81">
        <v>0.159</v>
      </c>
      <c r="P6" s="65"/>
      <c r="Q6" s="18"/>
    </row>
    <row r="7" ht="8.25" customHeight="1">
      <c r="A7" s="82" t="s">
        <v>222</v>
      </c>
      <c r="B7" s="68"/>
      <c r="C7" s="69"/>
      <c r="D7" s="78">
        <v>444916.0</v>
      </c>
      <c r="E7" s="79">
        <v>418078.0</v>
      </c>
      <c r="F7" s="80">
        <v>440748.0</v>
      </c>
      <c r="G7" s="65"/>
      <c r="H7" s="65"/>
      <c r="I7" s="65"/>
      <c r="J7" s="18"/>
      <c r="K7" s="83">
        <v>-4167.0</v>
      </c>
      <c r="L7" s="65"/>
      <c r="M7" s="65"/>
      <c r="N7" s="18"/>
      <c r="O7" s="84" t="s">
        <v>223</v>
      </c>
      <c r="P7" s="65"/>
      <c r="Q7" s="18"/>
    </row>
    <row r="8" ht="8.25" customHeight="1">
      <c r="A8" s="82" t="s">
        <v>224</v>
      </c>
      <c r="B8" s="68"/>
      <c r="C8" s="69"/>
      <c r="D8" s="78">
        <v>204012.0</v>
      </c>
      <c r="E8" s="79">
        <v>208492.0</v>
      </c>
      <c r="F8" s="80">
        <v>232477.0</v>
      </c>
      <c r="G8" s="65"/>
      <c r="H8" s="65"/>
      <c r="I8" s="65"/>
      <c r="J8" s="18"/>
      <c r="K8" s="80">
        <v>28465.0</v>
      </c>
      <c r="L8" s="65"/>
      <c r="M8" s="65"/>
      <c r="N8" s="18"/>
      <c r="O8" s="81">
        <v>0.14</v>
      </c>
      <c r="P8" s="65"/>
      <c r="Q8" s="18"/>
    </row>
    <row r="9" ht="8.25" customHeight="1">
      <c r="A9" s="82" t="s">
        <v>225</v>
      </c>
      <c r="B9" s="68"/>
      <c r="C9" s="69"/>
      <c r="D9" s="78">
        <v>68913.0</v>
      </c>
      <c r="E9" s="79">
        <v>58434.0</v>
      </c>
      <c r="F9" s="80">
        <v>79281.0</v>
      </c>
      <c r="G9" s="65"/>
      <c r="H9" s="65"/>
      <c r="I9" s="65"/>
      <c r="J9" s="18"/>
      <c r="K9" s="80">
        <v>10368.0</v>
      </c>
      <c r="L9" s="65"/>
      <c r="M9" s="65"/>
      <c r="N9" s="18"/>
      <c r="O9" s="81">
        <v>0.15</v>
      </c>
      <c r="P9" s="65"/>
      <c r="Q9" s="18"/>
    </row>
    <row r="10" ht="8.25" customHeight="1">
      <c r="A10" s="82" t="s">
        <v>226</v>
      </c>
      <c r="B10" s="68"/>
      <c r="C10" s="69"/>
      <c r="D10" s="78">
        <v>17089.0</v>
      </c>
      <c r="E10" s="79">
        <v>16877.0</v>
      </c>
      <c r="F10" s="80">
        <v>65142.0</v>
      </c>
      <c r="G10" s="65"/>
      <c r="H10" s="65"/>
      <c r="I10" s="65"/>
      <c r="J10" s="18"/>
      <c r="K10" s="80">
        <v>48053.0</v>
      </c>
      <c r="L10" s="65"/>
      <c r="M10" s="65"/>
      <c r="N10" s="18"/>
      <c r="O10" s="81">
        <v>2.812</v>
      </c>
      <c r="P10" s="65"/>
      <c r="Q10" s="18"/>
    </row>
    <row r="11" ht="8.25" customHeight="1">
      <c r="A11" s="82" t="s">
        <v>227</v>
      </c>
      <c r="B11" s="68"/>
      <c r="C11" s="69"/>
      <c r="D11" s="78">
        <v>46309.0</v>
      </c>
      <c r="E11" s="79">
        <v>41258.0</v>
      </c>
      <c r="F11" s="80">
        <v>51734.0</v>
      </c>
      <c r="G11" s="65"/>
      <c r="H11" s="65"/>
      <c r="I11" s="65"/>
      <c r="J11" s="18"/>
      <c r="K11" s="80">
        <v>5425.0</v>
      </c>
      <c r="L11" s="65"/>
      <c r="M11" s="65"/>
      <c r="N11" s="18"/>
      <c r="O11" s="81">
        <v>0.117</v>
      </c>
      <c r="P11" s="65"/>
      <c r="Q11" s="18"/>
    </row>
    <row r="12" ht="8.25" customHeight="1">
      <c r="A12" s="82" t="s">
        <v>228</v>
      </c>
      <c r="B12" s="68"/>
      <c r="C12" s="69"/>
      <c r="D12" s="78">
        <v>100.0</v>
      </c>
      <c r="E12" s="79">
        <v>53.0</v>
      </c>
      <c r="F12" s="85">
        <v>100.0</v>
      </c>
      <c r="G12" s="65"/>
      <c r="H12" s="65"/>
      <c r="I12" s="65"/>
      <c r="J12" s="18"/>
      <c r="K12" s="86"/>
      <c r="L12" s="65"/>
      <c r="M12" s="65"/>
      <c r="N12" s="18"/>
      <c r="O12" s="81">
        <v>0.0</v>
      </c>
      <c r="P12" s="65"/>
      <c r="Q12" s="18"/>
    </row>
    <row r="13" ht="8.25" customHeight="1">
      <c r="A13" s="87" t="s">
        <v>229</v>
      </c>
      <c r="B13" s="65"/>
      <c r="C13" s="18"/>
      <c r="D13" s="88">
        <v>4801669.0</v>
      </c>
      <c r="E13" s="89">
        <v>4756037.0</v>
      </c>
      <c r="F13" s="90">
        <v>5718606.0</v>
      </c>
      <c r="G13" s="65"/>
      <c r="H13" s="65"/>
      <c r="I13" s="65"/>
      <c r="J13" s="18"/>
      <c r="K13" s="90">
        <v>916937.0</v>
      </c>
      <c r="L13" s="65"/>
      <c r="M13" s="65"/>
      <c r="N13" s="18"/>
      <c r="O13" s="91">
        <v>0.191</v>
      </c>
      <c r="P13" s="65"/>
      <c r="Q13" s="18"/>
    </row>
    <row r="14" ht="8.25" customHeight="1">
      <c r="A14" s="87" t="s">
        <v>230</v>
      </c>
      <c r="B14" s="65"/>
      <c r="C14" s="18"/>
      <c r="D14" s="88">
        <v>1950838.0</v>
      </c>
      <c r="E14" s="89">
        <v>1862255.0</v>
      </c>
      <c r="F14" s="90">
        <v>2062143.0</v>
      </c>
      <c r="G14" s="65"/>
      <c r="H14" s="65"/>
      <c r="I14" s="65"/>
      <c r="J14" s="18"/>
      <c r="K14" s="90">
        <v>111305.0</v>
      </c>
      <c r="L14" s="65"/>
      <c r="M14" s="65"/>
      <c r="N14" s="18"/>
      <c r="O14" s="91">
        <v>0.057</v>
      </c>
      <c r="P14" s="65"/>
      <c r="Q14" s="18"/>
    </row>
    <row r="15" ht="8.25" customHeight="1">
      <c r="A15" s="87" t="s">
        <v>231</v>
      </c>
      <c r="B15" s="65"/>
      <c r="C15" s="18"/>
      <c r="D15" s="88">
        <v>6752508.0</v>
      </c>
      <c r="E15" s="89">
        <v>6618291.0</v>
      </c>
      <c r="F15" s="90">
        <v>7780749.0</v>
      </c>
      <c r="G15" s="65"/>
      <c r="H15" s="65"/>
      <c r="I15" s="65"/>
      <c r="J15" s="18"/>
      <c r="K15" s="90">
        <v>1028241.0</v>
      </c>
      <c r="L15" s="65"/>
      <c r="M15" s="65"/>
      <c r="N15" s="18"/>
      <c r="O15" s="91">
        <v>0.152</v>
      </c>
      <c r="P15" s="65"/>
      <c r="Q15" s="18"/>
    </row>
    <row r="16" ht="11.25" customHeight="1">
      <c r="A16" s="92"/>
      <c r="B16" s="92"/>
      <c r="C16" s="92"/>
      <c r="D16" s="93"/>
      <c r="E16" s="94"/>
      <c r="F16" s="95"/>
      <c r="G16" s="96"/>
      <c r="H16" s="96"/>
      <c r="I16" s="96"/>
      <c r="J16" s="96"/>
      <c r="K16" s="97"/>
      <c r="L16" s="97"/>
      <c r="M16" s="97"/>
      <c r="N16" s="97"/>
      <c r="O16" s="98"/>
      <c r="P16" s="98"/>
      <c r="Q16" s="98"/>
    </row>
    <row r="17" ht="10.5" customHeight="1">
      <c r="A17" s="99" t="s">
        <v>151</v>
      </c>
      <c r="B17" s="65"/>
      <c r="C17" s="65"/>
      <c r="D17" s="100"/>
      <c r="E17" s="101"/>
      <c r="F17" s="95"/>
      <c r="G17" s="96"/>
      <c r="H17" s="96"/>
      <c r="I17" s="96"/>
      <c r="J17" s="96"/>
      <c r="K17" s="97"/>
      <c r="L17" s="97"/>
      <c r="M17" s="97"/>
      <c r="N17" s="97"/>
      <c r="O17" s="98"/>
      <c r="P17" s="98"/>
      <c r="Q17" s="98"/>
    </row>
    <row r="18" ht="8.25" customHeight="1">
      <c r="A18" s="102" t="s">
        <v>232</v>
      </c>
      <c r="B18" s="65"/>
      <c r="C18" s="18"/>
      <c r="D18" s="78">
        <v>330860.0</v>
      </c>
      <c r="E18" s="79">
        <v>317781.0</v>
      </c>
      <c r="F18" s="80">
        <v>391053.0</v>
      </c>
      <c r="G18" s="65"/>
      <c r="H18" s="65"/>
      <c r="I18" s="65"/>
      <c r="J18" s="18"/>
      <c r="K18" s="80">
        <v>60193.0</v>
      </c>
      <c r="L18" s="65"/>
      <c r="M18" s="65"/>
      <c r="N18" s="18"/>
      <c r="O18" s="81">
        <v>0.182</v>
      </c>
      <c r="P18" s="65"/>
      <c r="Q18" s="18"/>
    </row>
    <row r="19" ht="8.25" customHeight="1">
      <c r="A19" s="102" t="s">
        <v>233</v>
      </c>
      <c r="B19" s="65"/>
      <c r="C19" s="18"/>
      <c r="D19" s="78">
        <v>286878.0</v>
      </c>
      <c r="E19" s="79">
        <v>283308.0</v>
      </c>
      <c r="F19" s="80">
        <v>198068.0</v>
      </c>
      <c r="G19" s="65"/>
      <c r="H19" s="65"/>
      <c r="I19" s="65"/>
      <c r="J19" s="18"/>
      <c r="K19" s="83">
        <v>-88809.0</v>
      </c>
      <c r="L19" s="65"/>
      <c r="M19" s="65"/>
      <c r="N19" s="18"/>
      <c r="O19" s="84" t="s">
        <v>234</v>
      </c>
      <c r="P19" s="65"/>
      <c r="Q19" s="18"/>
    </row>
    <row r="20" ht="8.25" customHeight="1">
      <c r="A20" s="102" t="s">
        <v>235</v>
      </c>
      <c r="B20" s="65"/>
      <c r="C20" s="18"/>
      <c r="D20" s="78">
        <v>2117917.0</v>
      </c>
      <c r="E20" s="79">
        <v>2297654.0</v>
      </c>
      <c r="F20" s="80">
        <v>2589520.0</v>
      </c>
      <c r="G20" s="65"/>
      <c r="H20" s="65"/>
      <c r="I20" s="65"/>
      <c r="J20" s="18"/>
      <c r="K20" s="80">
        <v>471604.0</v>
      </c>
      <c r="L20" s="65"/>
      <c r="M20" s="65"/>
      <c r="N20" s="18"/>
      <c r="O20" s="81">
        <v>0.223</v>
      </c>
      <c r="P20" s="65"/>
      <c r="Q20" s="18"/>
    </row>
    <row r="21" ht="13.5" customHeight="1">
      <c r="A21" s="87" t="s">
        <v>236</v>
      </c>
      <c r="B21" s="65"/>
      <c r="C21" s="18"/>
      <c r="D21" s="88">
        <v>2746016.0</v>
      </c>
      <c r="E21" s="89">
        <v>2910256.0</v>
      </c>
      <c r="F21" s="90">
        <v>3189078.0</v>
      </c>
      <c r="G21" s="65"/>
      <c r="H21" s="65"/>
      <c r="I21" s="65"/>
      <c r="J21" s="18"/>
      <c r="K21" s="90">
        <v>443061.0</v>
      </c>
      <c r="L21" s="65"/>
      <c r="M21" s="65"/>
      <c r="N21" s="18"/>
      <c r="O21" s="91">
        <v>0.161</v>
      </c>
      <c r="P21" s="65"/>
      <c r="Q21" s="18"/>
    </row>
    <row r="22" ht="21.0" customHeight="1">
      <c r="A22" s="103" t="s">
        <v>237</v>
      </c>
      <c r="B22" s="65"/>
      <c r="C22" s="18"/>
      <c r="D22" s="88">
        <v>9498524.0</v>
      </c>
      <c r="E22" s="89">
        <v>9528547.0</v>
      </c>
      <c r="F22" s="90">
        <v>1.0969827E7</v>
      </c>
      <c r="G22" s="65"/>
      <c r="H22" s="65"/>
      <c r="I22" s="65"/>
      <c r="J22" s="18"/>
      <c r="K22" s="90">
        <v>1471303.0</v>
      </c>
      <c r="L22" s="65"/>
      <c r="M22" s="65"/>
      <c r="N22" s="18"/>
      <c r="O22" s="91">
        <v>0.155</v>
      </c>
      <c r="P22" s="65"/>
      <c r="Q22" s="18"/>
    </row>
    <row r="23" ht="25.5" customHeight="1">
      <c r="A23" s="87" t="s">
        <v>238</v>
      </c>
      <c r="B23" s="65"/>
      <c r="C23" s="18"/>
      <c r="D23" s="88">
        <v>9498524.0</v>
      </c>
      <c r="E23" s="89">
        <v>9528547.0</v>
      </c>
      <c r="F23" s="90">
        <v>1.0969827E7</v>
      </c>
      <c r="G23" s="65"/>
      <c r="H23" s="65"/>
      <c r="I23" s="65"/>
      <c r="J23" s="18"/>
      <c r="K23" s="90">
        <v>1471303.0</v>
      </c>
      <c r="L23" s="65"/>
      <c r="M23" s="65"/>
      <c r="N23" s="18"/>
      <c r="O23" s="91">
        <v>0.155</v>
      </c>
      <c r="P23" s="65"/>
      <c r="Q23" s="18"/>
    </row>
    <row r="24" ht="15.75" customHeight="1">
      <c r="A24" s="87" t="s">
        <v>239</v>
      </c>
      <c r="B24" s="65"/>
      <c r="C24" s="18"/>
      <c r="D24" s="104">
        <v>2135502.0</v>
      </c>
      <c r="E24" s="105">
        <v>2150226.0</v>
      </c>
      <c r="F24" s="106" t="s">
        <v>240</v>
      </c>
      <c r="G24" s="65"/>
      <c r="H24" s="65"/>
      <c r="I24" s="65"/>
      <c r="J24" s="18"/>
      <c r="K24" s="106" t="s">
        <v>241</v>
      </c>
      <c r="L24" s="65"/>
      <c r="M24" s="65"/>
      <c r="N24" s="18"/>
      <c r="O24" s="91">
        <v>0.049</v>
      </c>
      <c r="P24" s="65"/>
      <c r="Q24" s="18"/>
    </row>
    <row r="25" ht="18.0" customHeight="1">
      <c r="A25" s="107" t="s">
        <v>242</v>
      </c>
      <c r="B25" s="65"/>
      <c r="C25" s="18"/>
      <c r="D25" s="108">
        <f>SUM(D23,D24)</f>
        <v>11634026</v>
      </c>
      <c r="E25" s="109">
        <f>SUM(E24,E22)</f>
        <v>11678773</v>
      </c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</sheetData>
  <mergeCells count="83">
    <mergeCell ref="A6:C6"/>
    <mergeCell ref="F6:J6"/>
    <mergeCell ref="K6:N6"/>
    <mergeCell ref="O6:Q6"/>
    <mergeCell ref="F7:J7"/>
    <mergeCell ref="K7:N7"/>
    <mergeCell ref="O7:Q7"/>
    <mergeCell ref="A7:C7"/>
    <mergeCell ref="A8:C8"/>
    <mergeCell ref="F8:J8"/>
    <mergeCell ref="K8:N8"/>
    <mergeCell ref="O8:Q8"/>
    <mergeCell ref="A9:C9"/>
    <mergeCell ref="A10:C10"/>
    <mergeCell ref="K13:N13"/>
    <mergeCell ref="K14:N14"/>
    <mergeCell ref="O14:Q14"/>
    <mergeCell ref="K10:N10"/>
    <mergeCell ref="O10:Q10"/>
    <mergeCell ref="K11:N11"/>
    <mergeCell ref="O11:Q11"/>
    <mergeCell ref="K12:N12"/>
    <mergeCell ref="O12:Q12"/>
    <mergeCell ref="O13:Q13"/>
    <mergeCell ref="F19:J19"/>
    <mergeCell ref="K19:N19"/>
    <mergeCell ref="O19:Q19"/>
    <mergeCell ref="F14:J14"/>
    <mergeCell ref="F15:J15"/>
    <mergeCell ref="K15:N15"/>
    <mergeCell ref="O15:Q15"/>
    <mergeCell ref="F18:J18"/>
    <mergeCell ref="K18:N18"/>
    <mergeCell ref="O18:Q18"/>
    <mergeCell ref="A21:C21"/>
    <mergeCell ref="A22:C22"/>
    <mergeCell ref="A23:C23"/>
    <mergeCell ref="A24:C24"/>
    <mergeCell ref="A25:C25"/>
    <mergeCell ref="A13:C13"/>
    <mergeCell ref="A14:C14"/>
    <mergeCell ref="A15:C15"/>
    <mergeCell ref="A17:C17"/>
    <mergeCell ref="A18:C18"/>
    <mergeCell ref="A19:C19"/>
    <mergeCell ref="A20:C20"/>
    <mergeCell ref="K22:N22"/>
    <mergeCell ref="O22:Q22"/>
    <mergeCell ref="F20:J20"/>
    <mergeCell ref="K20:N20"/>
    <mergeCell ref="O20:Q20"/>
    <mergeCell ref="F21:J21"/>
    <mergeCell ref="K21:N21"/>
    <mergeCell ref="O21:Q21"/>
    <mergeCell ref="F22:J22"/>
    <mergeCell ref="K4:N4"/>
    <mergeCell ref="O4:Q4"/>
    <mergeCell ref="F3:J4"/>
    <mergeCell ref="F5:J5"/>
    <mergeCell ref="K5:N5"/>
    <mergeCell ref="O5:Q5"/>
    <mergeCell ref="A2:C2"/>
    <mergeCell ref="D2:E2"/>
    <mergeCell ref="A3:C4"/>
    <mergeCell ref="D3:D4"/>
    <mergeCell ref="E3:E4"/>
    <mergeCell ref="K3:Q3"/>
    <mergeCell ref="A5:C5"/>
    <mergeCell ref="K9:N9"/>
    <mergeCell ref="O9:Q9"/>
    <mergeCell ref="F9:J9"/>
    <mergeCell ref="F10:J10"/>
    <mergeCell ref="A11:C11"/>
    <mergeCell ref="F11:J11"/>
    <mergeCell ref="A12:C12"/>
    <mergeCell ref="F12:J12"/>
    <mergeCell ref="F13:J13"/>
    <mergeCell ref="F23:J23"/>
    <mergeCell ref="K23:N23"/>
    <mergeCell ref="O23:Q23"/>
    <mergeCell ref="F24:J24"/>
    <mergeCell ref="K24:N24"/>
    <mergeCell ref="O24:Q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.88"/>
    <col customWidth="1" min="3" max="3" width="4.13"/>
    <col customWidth="1" min="4" max="4" width="9.75"/>
    <col customWidth="1" min="5" max="5" width="8.75"/>
    <col customWidth="1" hidden="1" min="6" max="7" width="1.0"/>
    <col customWidth="1" hidden="1" min="8" max="8" width="4.13"/>
    <col customWidth="1" hidden="1" min="9" max="9" width="1.0"/>
    <col customWidth="1" hidden="1" min="10" max="11" width="2.88"/>
    <col customWidth="1" hidden="1" min="12" max="12" width="1.0"/>
    <col customWidth="1" hidden="1" min="13" max="13" width="1.88"/>
    <col customWidth="1" hidden="1" min="14" max="14" width="1.0"/>
    <col customWidth="1" hidden="1" min="15" max="15" width="2.88"/>
    <col customWidth="1" hidden="1" min="16" max="16" width="1.0"/>
    <col customWidth="1" hidden="1" min="17" max="17" width="2.88"/>
    <col customWidth="1" min="18" max="19" width="7.63"/>
  </cols>
  <sheetData>
    <row r="1" ht="15.0" customHeight="1">
      <c r="A1" s="67" t="s">
        <v>243</v>
      </c>
      <c r="B1" s="68"/>
      <c r="C1" s="69"/>
      <c r="D1" s="66">
        <v>2024.0</v>
      </c>
      <c r="E1" s="18"/>
      <c r="F1" s="71" t="s">
        <v>244</v>
      </c>
      <c r="G1" s="68"/>
      <c r="H1" s="68"/>
      <c r="I1" s="68"/>
      <c r="J1" s="69"/>
      <c r="K1" s="72" t="s">
        <v>245</v>
      </c>
      <c r="L1" s="65"/>
      <c r="M1" s="65"/>
      <c r="N1" s="65"/>
      <c r="O1" s="65"/>
      <c r="P1" s="65"/>
      <c r="Q1" s="18"/>
    </row>
    <row r="2" ht="16.5" customHeight="1">
      <c r="A2" s="73"/>
      <c r="B2" s="74"/>
      <c r="C2" s="75"/>
      <c r="D2" s="110" t="s">
        <v>246</v>
      </c>
      <c r="E2" s="110" t="s">
        <v>247</v>
      </c>
      <c r="F2" s="73"/>
      <c r="G2" s="74"/>
      <c r="H2" s="74"/>
      <c r="I2" s="74"/>
      <c r="J2" s="75"/>
      <c r="K2" s="72" t="s">
        <v>248</v>
      </c>
      <c r="L2" s="65"/>
      <c r="M2" s="65"/>
      <c r="N2" s="18"/>
      <c r="O2" s="76" t="s">
        <v>249</v>
      </c>
      <c r="P2" s="65"/>
      <c r="Q2" s="18"/>
    </row>
    <row r="3" ht="8.25" customHeight="1">
      <c r="A3" s="82" t="s">
        <v>250</v>
      </c>
      <c r="B3" s="68"/>
      <c r="C3" s="69"/>
      <c r="D3" s="111"/>
      <c r="E3" s="112"/>
      <c r="F3" s="113"/>
      <c r="G3" s="68"/>
      <c r="H3" s="68"/>
      <c r="I3" s="68"/>
      <c r="J3" s="69"/>
      <c r="K3" s="113"/>
      <c r="L3" s="68"/>
      <c r="M3" s="68"/>
      <c r="N3" s="69"/>
      <c r="O3" s="113"/>
      <c r="P3" s="68"/>
      <c r="Q3" s="69"/>
    </row>
    <row r="4" ht="8.25" customHeight="1">
      <c r="A4" s="114" t="s">
        <v>251</v>
      </c>
      <c r="C4" s="115"/>
      <c r="D4" s="116">
        <v>1009864.0</v>
      </c>
      <c r="E4" s="117">
        <v>972670.0</v>
      </c>
      <c r="F4" s="118">
        <v>1577695.0</v>
      </c>
      <c r="J4" s="115"/>
      <c r="K4" s="118">
        <v>567832.0</v>
      </c>
      <c r="N4" s="115"/>
      <c r="O4" s="119">
        <v>0.562</v>
      </c>
      <c r="Q4" s="115"/>
    </row>
    <row r="5" ht="8.25" customHeight="1">
      <c r="A5" s="114" t="s">
        <v>252</v>
      </c>
      <c r="C5" s="115"/>
      <c r="D5" s="116">
        <v>101749.0</v>
      </c>
      <c r="E5" s="117">
        <v>108185.0</v>
      </c>
      <c r="F5" s="118">
        <v>32433.0</v>
      </c>
      <c r="J5" s="115"/>
      <c r="K5" s="120">
        <v>-69316.0</v>
      </c>
      <c r="N5" s="115"/>
      <c r="O5" s="121" t="s">
        <v>253</v>
      </c>
      <c r="Q5" s="115"/>
    </row>
    <row r="6" ht="8.25" customHeight="1">
      <c r="A6" s="114" t="s">
        <v>254</v>
      </c>
      <c r="C6" s="115"/>
      <c r="D6" s="116">
        <v>19653.0</v>
      </c>
      <c r="E6" s="117">
        <v>18039.0</v>
      </c>
      <c r="F6" s="118">
        <v>16165.0</v>
      </c>
      <c r="J6" s="115"/>
      <c r="K6" s="120">
        <v>-3489.0</v>
      </c>
      <c r="N6" s="115"/>
      <c r="O6" s="121" t="s">
        <v>255</v>
      </c>
      <c r="Q6" s="115"/>
    </row>
    <row r="7" ht="8.25" customHeight="1">
      <c r="A7" s="114" t="s">
        <v>256</v>
      </c>
      <c r="C7" s="115"/>
      <c r="D7" s="116">
        <v>22845.0</v>
      </c>
      <c r="E7" s="117">
        <v>29586.0</v>
      </c>
      <c r="F7" s="118">
        <v>25874.0</v>
      </c>
      <c r="J7" s="115"/>
      <c r="K7" s="118">
        <v>3028.0</v>
      </c>
      <c r="N7" s="115"/>
      <c r="O7" s="119">
        <v>0.133</v>
      </c>
      <c r="Q7" s="115"/>
    </row>
    <row r="8" ht="8.25" customHeight="1">
      <c r="A8" s="114" t="s">
        <v>257</v>
      </c>
      <c r="C8" s="115"/>
      <c r="D8" s="116">
        <v>238434.0</v>
      </c>
      <c r="E8" s="117">
        <v>213976.0</v>
      </c>
      <c r="F8" s="118">
        <v>241868.0</v>
      </c>
      <c r="J8" s="115"/>
      <c r="K8" s="118">
        <v>3434.0</v>
      </c>
      <c r="N8" s="115"/>
      <c r="O8" s="119">
        <v>0.014</v>
      </c>
      <c r="Q8" s="115"/>
    </row>
    <row r="9" ht="8.25" customHeight="1">
      <c r="A9" s="114" t="s">
        <v>258</v>
      </c>
      <c r="C9" s="115"/>
      <c r="D9" s="116">
        <v>308930.0</v>
      </c>
      <c r="E9" s="117">
        <v>315870.0</v>
      </c>
      <c r="F9" s="118">
        <v>331761.0</v>
      </c>
      <c r="J9" s="115"/>
      <c r="K9" s="118">
        <v>22831.0</v>
      </c>
      <c r="N9" s="115"/>
      <c r="O9" s="119">
        <v>0.074</v>
      </c>
      <c r="Q9" s="115"/>
    </row>
    <row r="10" ht="8.25" customHeight="1">
      <c r="A10" s="114" t="s">
        <v>259</v>
      </c>
      <c r="C10" s="115"/>
      <c r="D10" s="116">
        <v>185748.0</v>
      </c>
      <c r="E10" s="117">
        <v>173116.0</v>
      </c>
      <c r="F10" s="118">
        <v>218897.0</v>
      </c>
      <c r="J10" s="115"/>
      <c r="K10" s="118">
        <v>33149.0</v>
      </c>
      <c r="N10" s="115"/>
      <c r="O10" s="119">
        <v>0.178</v>
      </c>
      <c r="Q10" s="115"/>
    </row>
    <row r="11" ht="8.25" customHeight="1">
      <c r="A11" s="114" t="s">
        <v>260</v>
      </c>
      <c r="C11" s="115"/>
      <c r="D11" s="116">
        <v>19446.0</v>
      </c>
      <c r="E11" s="117">
        <v>17180.0</v>
      </c>
      <c r="F11" s="118">
        <v>16806.0</v>
      </c>
      <c r="J11" s="115"/>
      <c r="K11" s="120">
        <v>-2640.0</v>
      </c>
      <c r="N11" s="115"/>
      <c r="O11" s="121" t="s">
        <v>261</v>
      </c>
      <c r="Q11" s="115"/>
    </row>
    <row r="12" ht="8.25" customHeight="1">
      <c r="A12" s="114" t="s">
        <v>262</v>
      </c>
      <c r="C12" s="115"/>
      <c r="D12" s="116">
        <v>1117134.0</v>
      </c>
      <c r="E12" s="117">
        <v>1162375.0</v>
      </c>
      <c r="F12" s="118">
        <v>1277044.0</v>
      </c>
      <c r="J12" s="115"/>
      <c r="K12" s="118">
        <v>159911.0</v>
      </c>
      <c r="N12" s="115"/>
      <c r="O12" s="119">
        <v>0.143</v>
      </c>
      <c r="Q12" s="115"/>
    </row>
    <row r="13" ht="8.25" customHeight="1">
      <c r="A13" s="122" t="s">
        <v>263</v>
      </c>
      <c r="B13" s="74"/>
      <c r="C13" s="75"/>
      <c r="D13" s="123">
        <v>605135.0</v>
      </c>
      <c r="E13" s="124">
        <v>614602.0</v>
      </c>
      <c r="F13" s="125">
        <v>656778.0</v>
      </c>
      <c r="G13" s="74"/>
      <c r="H13" s="74"/>
      <c r="I13" s="74"/>
      <c r="J13" s="75"/>
      <c r="K13" s="125">
        <v>51643.0</v>
      </c>
      <c r="L13" s="74"/>
      <c r="M13" s="74"/>
      <c r="N13" s="75"/>
      <c r="O13" s="126">
        <v>0.085</v>
      </c>
      <c r="P13" s="74"/>
      <c r="Q13" s="75"/>
    </row>
    <row r="14" ht="8.25" customHeight="1">
      <c r="A14" s="102" t="s">
        <v>264</v>
      </c>
      <c r="B14" s="65"/>
      <c r="C14" s="18"/>
      <c r="D14" s="127">
        <v>3628938.0</v>
      </c>
      <c r="E14" s="128">
        <v>3625599.0</v>
      </c>
      <c r="F14" s="80">
        <v>4395321.0</v>
      </c>
      <c r="G14" s="65"/>
      <c r="H14" s="65"/>
      <c r="I14" s="65"/>
      <c r="J14" s="18"/>
      <c r="K14" s="80">
        <v>766383.0</v>
      </c>
      <c r="L14" s="65"/>
      <c r="M14" s="65"/>
      <c r="N14" s="18"/>
      <c r="O14" s="81">
        <v>0.211</v>
      </c>
      <c r="P14" s="65"/>
      <c r="Q14" s="18"/>
    </row>
    <row r="15" ht="8.25" customHeight="1">
      <c r="A15" s="82" t="s">
        <v>265</v>
      </c>
      <c r="B15" s="68"/>
      <c r="C15" s="69"/>
      <c r="D15" s="111"/>
      <c r="E15" s="112"/>
      <c r="F15" s="113"/>
      <c r="G15" s="68"/>
      <c r="H15" s="68"/>
      <c r="I15" s="68"/>
      <c r="J15" s="69"/>
      <c r="K15" s="113"/>
      <c r="L15" s="68"/>
      <c r="M15" s="68"/>
      <c r="N15" s="69"/>
      <c r="O15" s="113"/>
      <c r="P15" s="68"/>
      <c r="Q15" s="69"/>
    </row>
    <row r="16" ht="8.25" customHeight="1">
      <c r="A16" s="114" t="s">
        <v>266</v>
      </c>
      <c r="C16" s="115"/>
      <c r="D16" s="116">
        <v>84814.0</v>
      </c>
      <c r="E16" s="117">
        <v>79664.0</v>
      </c>
      <c r="F16" s="118">
        <v>92442.0</v>
      </c>
      <c r="J16" s="115"/>
      <c r="K16" s="118">
        <v>7629.0</v>
      </c>
      <c r="N16" s="115"/>
      <c r="O16" s="119">
        <v>0.09</v>
      </c>
      <c r="Q16" s="115"/>
    </row>
    <row r="17" ht="8.25" customHeight="1">
      <c r="A17" s="114" t="s">
        <v>267</v>
      </c>
      <c r="C17" s="115"/>
      <c r="D17" s="116">
        <v>51396.0</v>
      </c>
      <c r="E17" s="117">
        <v>58732.0</v>
      </c>
      <c r="F17" s="118">
        <v>60731.0</v>
      </c>
      <c r="J17" s="115"/>
      <c r="K17" s="118">
        <v>9335.0</v>
      </c>
      <c r="N17" s="115"/>
      <c r="O17" s="119">
        <v>0.182</v>
      </c>
      <c r="Q17" s="115"/>
    </row>
    <row r="18" ht="8.25" customHeight="1">
      <c r="A18" s="114" t="s">
        <v>268</v>
      </c>
      <c r="C18" s="115"/>
      <c r="D18" s="116">
        <v>1406.0</v>
      </c>
      <c r="E18" s="117">
        <v>1307.0</v>
      </c>
      <c r="F18" s="118">
        <v>2977.0</v>
      </c>
      <c r="J18" s="115"/>
      <c r="K18" s="118">
        <v>1571.0</v>
      </c>
      <c r="N18" s="115"/>
      <c r="O18" s="119">
        <v>1.117</v>
      </c>
      <c r="Q18" s="115"/>
    </row>
    <row r="19" ht="8.25" customHeight="1">
      <c r="A19" s="114" t="s">
        <v>269</v>
      </c>
      <c r="C19" s="115"/>
      <c r="D19" s="116">
        <v>17253.0</v>
      </c>
      <c r="E19" s="117">
        <v>17036.0</v>
      </c>
      <c r="F19" s="118">
        <v>21752.0</v>
      </c>
      <c r="J19" s="115"/>
      <c r="K19" s="118">
        <v>4499.0</v>
      </c>
      <c r="N19" s="115"/>
      <c r="O19" s="119">
        <v>0.261</v>
      </c>
      <c r="Q19" s="115"/>
    </row>
    <row r="20" ht="8.25" customHeight="1">
      <c r="A20" s="114" t="s">
        <v>270</v>
      </c>
      <c r="C20" s="115"/>
      <c r="D20" s="116">
        <v>9188.0</v>
      </c>
      <c r="E20" s="117">
        <v>9922.0</v>
      </c>
      <c r="F20" s="118">
        <v>9386.0</v>
      </c>
      <c r="J20" s="115"/>
      <c r="K20" s="129">
        <v>198.0</v>
      </c>
      <c r="N20" s="115"/>
      <c r="O20" s="119">
        <v>0.022</v>
      </c>
      <c r="Q20" s="115"/>
    </row>
    <row r="21" ht="8.25" customHeight="1">
      <c r="A21" s="122" t="s">
        <v>271</v>
      </c>
      <c r="B21" s="74"/>
      <c r="C21" s="75"/>
      <c r="D21" s="123">
        <v>227335.0</v>
      </c>
      <c r="E21" s="124">
        <v>220585.0</v>
      </c>
      <c r="F21" s="125">
        <v>266514.0</v>
      </c>
      <c r="G21" s="74"/>
      <c r="H21" s="74"/>
      <c r="I21" s="74"/>
      <c r="J21" s="75"/>
      <c r="K21" s="125">
        <v>39179.0</v>
      </c>
      <c r="L21" s="74"/>
      <c r="M21" s="74"/>
      <c r="N21" s="75"/>
      <c r="O21" s="126">
        <v>0.172</v>
      </c>
      <c r="P21" s="74"/>
      <c r="Q21" s="75"/>
    </row>
    <row r="22" ht="8.25" customHeight="1">
      <c r="A22" s="102" t="s">
        <v>272</v>
      </c>
      <c r="B22" s="65"/>
      <c r="C22" s="18"/>
      <c r="D22" s="127">
        <v>391393.0</v>
      </c>
      <c r="E22" s="128">
        <v>387245.0</v>
      </c>
      <c r="F22" s="80">
        <v>453803.0</v>
      </c>
      <c r="G22" s="65"/>
      <c r="H22" s="65"/>
      <c r="I22" s="65"/>
      <c r="J22" s="18"/>
      <c r="K22" s="80">
        <v>62410.0</v>
      </c>
      <c r="L22" s="65"/>
      <c r="M22" s="65"/>
      <c r="N22" s="18"/>
      <c r="O22" s="81">
        <v>0.159</v>
      </c>
      <c r="P22" s="65"/>
      <c r="Q22" s="18"/>
    </row>
    <row r="23" ht="8.25" customHeight="1">
      <c r="A23" s="82" t="s">
        <v>273</v>
      </c>
      <c r="B23" s="68"/>
      <c r="C23" s="69"/>
      <c r="D23" s="111"/>
      <c r="E23" s="112"/>
      <c r="F23" s="113"/>
      <c r="G23" s="68"/>
      <c r="H23" s="68"/>
      <c r="I23" s="68"/>
      <c r="J23" s="69"/>
      <c r="K23" s="113"/>
      <c r="L23" s="68"/>
      <c r="M23" s="68"/>
      <c r="N23" s="69"/>
      <c r="O23" s="113"/>
      <c r="P23" s="68"/>
      <c r="Q23" s="69"/>
    </row>
    <row r="24" ht="8.25" customHeight="1">
      <c r="A24" s="114" t="s">
        <v>274</v>
      </c>
      <c r="C24" s="115"/>
      <c r="D24" s="116">
        <v>64553.0</v>
      </c>
      <c r="E24" s="117">
        <v>51580.0</v>
      </c>
      <c r="F24" s="118">
        <v>63391.0</v>
      </c>
      <c r="J24" s="115"/>
      <c r="K24" s="120">
        <v>-1163.0</v>
      </c>
      <c r="N24" s="115"/>
      <c r="O24" s="121" t="s">
        <v>275</v>
      </c>
      <c r="Q24" s="115"/>
    </row>
    <row r="25" ht="8.25" customHeight="1">
      <c r="A25" s="114" t="s">
        <v>276</v>
      </c>
      <c r="C25" s="115"/>
      <c r="D25" s="116">
        <v>98823.0</v>
      </c>
      <c r="E25" s="117">
        <v>99429.0</v>
      </c>
      <c r="F25" s="118">
        <v>107666.0</v>
      </c>
      <c r="J25" s="115"/>
      <c r="K25" s="118">
        <v>8843.0</v>
      </c>
      <c r="N25" s="115"/>
      <c r="O25" s="119">
        <v>0.089</v>
      </c>
      <c r="Q25" s="115"/>
    </row>
    <row r="26" ht="8.25" customHeight="1">
      <c r="A26" s="114" t="s">
        <v>277</v>
      </c>
      <c r="C26" s="115"/>
      <c r="D26" s="116">
        <v>270218.0</v>
      </c>
      <c r="E26" s="117">
        <v>258788.0</v>
      </c>
      <c r="F26" s="118">
        <v>260016.0</v>
      </c>
      <c r="J26" s="115"/>
      <c r="K26" s="120">
        <v>-10202.0</v>
      </c>
      <c r="N26" s="115"/>
      <c r="O26" s="121" t="s">
        <v>278</v>
      </c>
      <c r="Q26" s="115"/>
    </row>
    <row r="27" ht="8.25" customHeight="1">
      <c r="A27" s="122" t="s">
        <v>279</v>
      </c>
      <c r="B27" s="74"/>
      <c r="C27" s="75"/>
      <c r="D27" s="123">
        <v>11322.0</v>
      </c>
      <c r="E27" s="124">
        <v>8280.0</v>
      </c>
      <c r="F27" s="125">
        <v>9676.0</v>
      </c>
      <c r="G27" s="74"/>
      <c r="H27" s="74"/>
      <c r="I27" s="74"/>
      <c r="J27" s="75"/>
      <c r="K27" s="130"/>
      <c r="L27" s="74"/>
      <c r="M27" s="74"/>
      <c r="N27" s="75"/>
      <c r="O27" s="130"/>
      <c r="P27" s="74"/>
      <c r="Q27" s="75"/>
    </row>
    <row r="28" ht="8.25" customHeight="1">
      <c r="A28" s="102" t="s">
        <v>280</v>
      </c>
      <c r="B28" s="65"/>
      <c r="C28" s="18"/>
      <c r="D28" s="127">
        <v>444916.0</v>
      </c>
      <c r="E28" s="128">
        <v>418078.0</v>
      </c>
      <c r="F28" s="80">
        <v>440748.0</v>
      </c>
      <c r="G28" s="65"/>
      <c r="H28" s="65"/>
      <c r="I28" s="65"/>
      <c r="J28" s="18"/>
      <c r="K28" s="83">
        <v>-4167.0</v>
      </c>
      <c r="L28" s="65"/>
      <c r="M28" s="65"/>
      <c r="N28" s="18"/>
      <c r="O28" s="84" t="s">
        <v>281</v>
      </c>
      <c r="P28" s="65"/>
      <c r="Q28" s="18"/>
    </row>
    <row r="29" ht="8.25" customHeight="1">
      <c r="A29" s="82" t="s">
        <v>282</v>
      </c>
      <c r="B29" s="68"/>
      <c r="C29" s="69"/>
      <c r="D29" s="111"/>
      <c r="E29" s="112"/>
      <c r="F29" s="113"/>
      <c r="G29" s="68"/>
      <c r="H29" s="68"/>
      <c r="I29" s="68"/>
      <c r="J29" s="69"/>
      <c r="K29" s="113"/>
      <c r="L29" s="68"/>
      <c r="M29" s="68"/>
      <c r="N29" s="69"/>
      <c r="O29" s="113"/>
      <c r="P29" s="68"/>
      <c r="Q29" s="69"/>
    </row>
    <row r="30" ht="8.25" customHeight="1">
      <c r="A30" s="114" t="s">
        <v>283</v>
      </c>
      <c r="C30" s="115"/>
      <c r="D30" s="116">
        <v>96089.0</v>
      </c>
      <c r="E30" s="117">
        <v>102509.0</v>
      </c>
      <c r="F30" s="118">
        <v>108535.0</v>
      </c>
      <c r="J30" s="115"/>
      <c r="K30" s="118">
        <v>12445.0</v>
      </c>
      <c r="N30" s="115"/>
      <c r="O30" s="119">
        <v>0.13</v>
      </c>
      <c r="Q30" s="115"/>
    </row>
    <row r="31" ht="8.25" customHeight="1">
      <c r="A31" s="114" t="s">
        <v>284</v>
      </c>
      <c r="C31" s="115"/>
      <c r="D31" s="116">
        <v>9985.0</v>
      </c>
      <c r="E31" s="117">
        <v>9594.0</v>
      </c>
      <c r="F31" s="118">
        <v>9727.0</v>
      </c>
      <c r="J31" s="115"/>
      <c r="K31" s="131">
        <v>-258.0</v>
      </c>
      <c r="N31" s="115"/>
      <c r="O31" s="121" t="s">
        <v>285</v>
      </c>
      <c r="Q31" s="115"/>
    </row>
    <row r="32" ht="8.25" customHeight="1">
      <c r="A32" s="114" t="s">
        <v>286</v>
      </c>
      <c r="C32" s="115"/>
      <c r="D32" s="116">
        <v>7474.0</v>
      </c>
      <c r="E32" s="117">
        <v>4221.0</v>
      </c>
      <c r="F32" s="118">
        <v>9105.0</v>
      </c>
      <c r="J32" s="115"/>
      <c r="K32" s="118">
        <v>1631.0</v>
      </c>
      <c r="N32" s="115"/>
      <c r="O32" s="119">
        <v>0.218</v>
      </c>
      <c r="Q32" s="115"/>
    </row>
    <row r="33" ht="8.25" customHeight="1">
      <c r="A33" s="114" t="s">
        <v>287</v>
      </c>
      <c r="C33" s="115"/>
      <c r="D33" s="116">
        <v>39543.0</v>
      </c>
      <c r="E33" s="117">
        <v>43323.0</v>
      </c>
      <c r="F33" s="118">
        <v>44295.0</v>
      </c>
      <c r="J33" s="115"/>
      <c r="K33" s="118">
        <v>4751.0</v>
      </c>
      <c r="N33" s="115"/>
      <c r="O33" s="119">
        <v>0.12</v>
      </c>
      <c r="Q33" s="115"/>
    </row>
    <row r="34" ht="8.25" customHeight="1">
      <c r="A34" s="114" t="s">
        <v>288</v>
      </c>
      <c r="C34" s="115"/>
      <c r="D34" s="116">
        <v>50356.0</v>
      </c>
      <c r="E34" s="117">
        <v>48427.0</v>
      </c>
      <c r="F34" s="118">
        <v>60215.0</v>
      </c>
      <c r="J34" s="115"/>
      <c r="K34" s="118">
        <v>9859.0</v>
      </c>
      <c r="N34" s="115"/>
      <c r="O34" s="119">
        <v>0.196</v>
      </c>
      <c r="Q34" s="115"/>
    </row>
    <row r="35" ht="8.25" customHeight="1">
      <c r="A35" s="122" t="s">
        <v>289</v>
      </c>
      <c r="B35" s="74"/>
      <c r="C35" s="75"/>
      <c r="D35" s="132">
        <v>565.0</v>
      </c>
      <c r="E35" s="133">
        <v>418.0</v>
      </c>
      <c r="F35" s="134">
        <v>601.0</v>
      </c>
      <c r="G35" s="74"/>
      <c r="H35" s="74"/>
      <c r="I35" s="74"/>
      <c r="J35" s="75"/>
      <c r="K35" s="134">
        <v>36.0</v>
      </c>
      <c r="L35" s="74"/>
      <c r="M35" s="74"/>
      <c r="N35" s="75"/>
      <c r="O35" s="126">
        <v>0.064</v>
      </c>
      <c r="P35" s="74"/>
      <c r="Q35" s="75"/>
    </row>
    <row r="36" ht="8.25" customHeight="1">
      <c r="A36" s="102" t="s">
        <v>290</v>
      </c>
      <c r="B36" s="65"/>
      <c r="C36" s="18"/>
      <c r="D36" s="127">
        <v>204012.0</v>
      </c>
      <c r="E36" s="128">
        <v>208492.0</v>
      </c>
      <c r="F36" s="80">
        <v>232477.0</v>
      </c>
      <c r="G36" s="65"/>
      <c r="H36" s="65"/>
      <c r="I36" s="65"/>
      <c r="J36" s="18"/>
      <c r="K36" s="80">
        <v>28465.0</v>
      </c>
      <c r="L36" s="65"/>
      <c r="M36" s="65"/>
      <c r="N36" s="18"/>
      <c r="O36" s="81">
        <v>0.14</v>
      </c>
      <c r="P36" s="65"/>
      <c r="Q36" s="18"/>
    </row>
    <row r="37" ht="8.25" customHeight="1">
      <c r="A37" s="82" t="s">
        <v>291</v>
      </c>
      <c r="B37" s="68"/>
      <c r="C37" s="69"/>
      <c r="D37" s="111"/>
      <c r="E37" s="112"/>
      <c r="F37" s="113"/>
      <c r="G37" s="68"/>
      <c r="H37" s="68"/>
      <c r="I37" s="68"/>
      <c r="J37" s="69"/>
      <c r="K37" s="113"/>
      <c r="L37" s="68"/>
      <c r="M37" s="68"/>
      <c r="N37" s="69"/>
      <c r="O37" s="113"/>
      <c r="P37" s="68"/>
      <c r="Q37" s="69"/>
    </row>
    <row r="38" ht="8.25" customHeight="1">
      <c r="A38" s="114" t="s">
        <v>292</v>
      </c>
      <c r="C38" s="115"/>
      <c r="D38" s="116">
        <v>23585.0</v>
      </c>
      <c r="E38" s="117">
        <v>16367.0</v>
      </c>
      <c r="F38" s="118">
        <v>25426.0</v>
      </c>
      <c r="J38" s="115"/>
      <c r="K38" s="118">
        <v>1841.0</v>
      </c>
      <c r="N38" s="115"/>
      <c r="O38" s="119">
        <v>0.078</v>
      </c>
      <c r="Q38" s="115"/>
    </row>
    <row r="39" ht="8.25" customHeight="1">
      <c r="A39" s="122" t="s">
        <v>293</v>
      </c>
      <c r="B39" s="74"/>
      <c r="C39" s="75"/>
      <c r="D39" s="123">
        <v>45328.0</v>
      </c>
      <c r="E39" s="124">
        <v>42066.0</v>
      </c>
      <c r="F39" s="125">
        <v>53855.0</v>
      </c>
      <c r="G39" s="74"/>
      <c r="H39" s="74"/>
      <c r="I39" s="74"/>
      <c r="J39" s="75"/>
      <c r="K39" s="125">
        <v>8527.0</v>
      </c>
      <c r="L39" s="74"/>
      <c r="M39" s="74"/>
      <c r="N39" s="75"/>
      <c r="O39" s="126">
        <v>0.188</v>
      </c>
      <c r="P39" s="74"/>
      <c r="Q39" s="75"/>
    </row>
    <row r="40" ht="8.25" customHeight="1">
      <c r="A40" s="102" t="s">
        <v>294</v>
      </c>
      <c r="B40" s="65"/>
      <c r="C40" s="18"/>
      <c r="D40" s="127">
        <v>68913.0</v>
      </c>
      <c r="E40" s="128">
        <v>58434.0</v>
      </c>
      <c r="F40" s="80">
        <v>79281.0</v>
      </c>
      <c r="G40" s="65"/>
      <c r="H40" s="65"/>
      <c r="I40" s="65"/>
      <c r="J40" s="18"/>
      <c r="K40" s="80">
        <v>10368.0</v>
      </c>
      <c r="L40" s="65"/>
      <c r="M40" s="65"/>
      <c r="N40" s="18"/>
      <c r="O40" s="81">
        <v>0.15</v>
      </c>
      <c r="P40" s="65"/>
      <c r="Q40" s="18"/>
    </row>
    <row r="41" ht="8.25" customHeight="1">
      <c r="A41" s="82" t="s">
        <v>295</v>
      </c>
      <c r="B41" s="68"/>
      <c r="C41" s="69"/>
      <c r="D41" s="111"/>
      <c r="E41" s="112"/>
      <c r="F41" s="113"/>
      <c r="G41" s="68"/>
      <c r="H41" s="68"/>
      <c r="I41" s="68"/>
      <c r="J41" s="69"/>
      <c r="K41" s="113"/>
      <c r="L41" s="68"/>
      <c r="M41" s="68"/>
      <c r="N41" s="69"/>
      <c r="O41" s="113"/>
      <c r="P41" s="68"/>
      <c r="Q41" s="69"/>
    </row>
    <row r="42" ht="8.25" customHeight="1">
      <c r="A42" s="114" t="s">
        <v>296</v>
      </c>
      <c r="C42" s="115"/>
      <c r="D42" s="116">
        <v>10173.0</v>
      </c>
      <c r="E42" s="117">
        <v>16877.0</v>
      </c>
      <c r="F42" s="118">
        <v>9595.0</v>
      </c>
      <c r="J42" s="115"/>
      <c r="K42" s="131">
        <v>-578.0</v>
      </c>
      <c r="N42" s="115"/>
      <c r="O42" s="121" t="s">
        <v>297</v>
      </c>
      <c r="Q42" s="115"/>
    </row>
    <row r="43" ht="8.25" customHeight="1">
      <c r="A43" s="122" t="s">
        <v>298</v>
      </c>
      <c r="B43" s="74"/>
      <c r="C43" s="75"/>
      <c r="D43" s="123">
        <v>6915.0</v>
      </c>
      <c r="E43" s="135"/>
      <c r="F43" s="125">
        <v>55547.0</v>
      </c>
      <c r="G43" s="74"/>
      <c r="H43" s="74"/>
      <c r="I43" s="74"/>
      <c r="J43" s="75"/>
      <c r="K43" s="130"/>
      <c r="L43" s="74"/>
      <c r="M43" s="74"/>
      <c r="N43" s="75"/>
      <c r="O43" s="130"/>
      <c r="P43" s="74"/>
      <c r="Q43" s="75"/>
    </row>
    <row r="44" ht="8.25" customHeight="1">
      <c r="A44" s="102" t="s">
        <v>299</v>
      </c>
      <c r="B44" s="65"/>
      <c r="C44" s="18"/>
      <c r="D44" s="127">
        <v>17089.0</v>
      </c>
      <c r="E44" s="128">
        <v>16877.0</v>
      </c>
      <c r="F44" s="80">
        <v>65142.0</v>
      </c>
      <c r="G44" s="65"/>
      <c r="H44" s="65"/>
      <c r="I44" s="65"/>
      <c r="J44" s="18"/>
      <c r="K44" s="80">
        <v>48053.0</v>
      </c>
      <c r="L44" s="65"/>
      <c r="M44" s="65"/>
      <c r="N44" s="18"/>
      <c r="O44" s="81">
        <v>2.812</v>
      </c>
      <c r="P44" s="65"/>
      <c r="Q44" s="18"/>
    </row>
    <row r="45" ht="8.25" customHeight="1">
      <c r="A45" s="82" t="s">
        <v>300</v>
      </c>
      <c r="B45" s="68"/>
      <c r="C45" s="69"/>
      <c r="D45" s="111"/>
      <c r="E45" s="112"/>
      <c r="F45" s="113"/>
      <c r="G45" s="68"/>
      <c r="H45" s="68"/>
      <c r="I45" s="68"/>
      <c r="J45" s="69"/>
      <c r="K45" s="113"/>
      <c r="L45" s="68"/>
      <c r="M45" s="68"/>
      <c r="N45" s="69"/>
      <c r="O45" s="113"/>
      <c r="P45" s="68"/>
      <c r="Q45" s="69"/>
    </row>
    <row r="46" ht="8.25" customHeight="1">
      <c r="A46" s="114" t="s">
        <v>301</v>
      </c>
      <c r="C46" s="115"/>
      <c r="D46" s="116">
        <v>17727.0</v>
      </c>
      <c r="E46" s="117">
        <v>16243.0</v>
      </c>
      <c r="F46" s="118">
        <v>19910.0</v>
      </c>
      <c r="J46" s="115"/>
      <c r="K46" s="118">
        <v>2183.0</v>
      </c>
      <c r="N46" s="115"/>
      <c r="O46" s="119">
        <v>0.123</v>
      </c>
      <c r="Q46" s="115"/>
    </row>
    <row r="47" ht="8.25" customHeight="1">
      <c r="A47" s="114" t="s">
        <v>302</v>
      </c>
      <c r="C47" s="115"/>
      <c r="D47" s="116">
        <v>28160.0</v>
      </c>
      <c r="E47" s="117">
        <v>24591.0</v>
      </c>
      <c r="F47" s="118">
        <v>31429.0</v>
      </c>
      <c r="J47" s="115"/>
      <c r="K47" s="118">
        <v>3269.0</v>
      </c>
      <c r="N47" s="115"/>
      <c r="O47" s="119">
        <v>0.116</v>
      </c>
      <c r="Q47" s="115"/>
    </row>
    <row r="48" ht="8.25" customHeight="1">
      <c r="A48" s="114" t="s">
        <v>303</v>
      </c>
      <c r="C48" s="115"/>
      <c r="D48" s="136"/>
      <c r="E48" s="137"/>
      <c r="F48" s="138"/>
      <c r="J48" s="115"/>
      <c r="K48" s="138"/>
      <c r="N48" s="115"/>
      <c r="O48" s="121" t="s">
        <v>304</v>
      </c>
      <c r="Q48" s="115"/>
    </row>
    <row r="49" ht="8.25" customHeight="1">
      <c r="A49" s="122" t="s">
        <v>305</v>
      </c>
      <c r="B49" s="74"/>
      <c r="C49" s="75"/>
      <c r="D49" s="132">
        <v>422.0</v>
      </c>
      <c r="E49" s="133">
        <v>424.0</v>
      </c>
      <c r="F49" s="134">
        <v>395.0</v>
      </c>
      <c r="G49" s="74"/>
      <c r="H49" s="74"/>
      <c r="I49" s="74"/>
      <c r="J49" s="75"/>
      <c r="K49" s="139">
        <v>-26.0</v>
      </c>
      <c r="L49" s="74"/>
      <c r="M49" s="74"/>
      <c r="N49" s="75"/>
      <c r="O49" s="140" t="s">
        <v>306</v>
      </c>
      <c r="P49" s="74"/>
      <c r="Q49" s="75"/>
    </row>
    <row r="50" ht="8.25" customHeight="1">
      <c r="A50" s="102" t="s">
        <v>307</v>
      </c>
      <c r="B50" s="65"/>
      <c r="C50" s="18"/>
      <c r="D50" s="127">
        <v>46309.0</v>
      </c>
      <c r="E50" s="128">
        <v>41258.0</v>
      </c>
      <c r="F50" s="80">
        <v>51734.0</v>
      </c>
      <c r="G50" s="65"/>
      <c r="H50" s="65"/>
      <c r="I50" s="65"/>
      <c r="J50" s="18"/>
      <c r="K50" s="80">
        <v>5425.0</v>
      </c>
      <c r="L50" s="65"/>
      <c r="M50" s="65"/>
      <c r="N50" s="18"/>
      <c r="O50" s="81">
        <v>0.117</v>
      </c>
      <c r="P50" s="65"/>
      <c r="Q50" s="18"/>
    </row>
    <row r="51" ht="8.25" customHeight="1">
      <c r="A51" s="82" t="s">
        <v>308</v>
      </c>
      <c r="B51" s="68"/>
      <c r="C51" s="69"/>
      <c r="D51" s="111"/>
      <c r="E51" s="112"/>
      <c r="F51" s="113"/>
      <c r="G51" s="68"/>
      <c r="H51" s="68"/>
      <c r="I51" s="68"/>
      <c r="J51" s="69"/>
      <c r="K51" s="141"/>
      <c r="L51" s="68"/>
      <c r="M51" s="68"/>
      <c r="N51" s="69"/>
      <c r="O51" s="113"/>
      <c r="P51" s="68"/>
      <c r="Q51" s="69"/>
    </row>
    <row r="52" ht="8.25" customHeight="1">
      <c r="A52" s="114" t="s">
        <v>309</v>
      </c>
      <c r="C52" s="115"/>
      <c r="D52" s="136"/>
      <c r="E52" s="137"/>
      <c r="F52" s="138"/>
      <c r="J52" s="115"/>
      <c r="K52" s="142"/>
      <c r="N52" s="115"/>
      <c r="O52" s="121" t="s">
        <v>310</v>
      </c>
      <c r="Q52" s="115"/>
    </row>
    <row r="53" ht="8.25" customHeight="1">
      <c r="A53" s="114" t="s">
        <v>311</v>
      </c>
      <c r="C53" s="115"/>
      <c r="D53" s="143">
        <v>100.0</v>
      </c>
      <c r="E53" s="144">
        <v>53.0</v>
      </c>
      <c r="F53" s="129">
        <v>100.0</v>
      </c>
      <c r="J53" s="115"/>
      <c r="K53" s="142"/>
      <c r="N53" s="115"/>
      <c r="O53" s="119">
        <v>0.0</v>
      </c>
      <c r="Q53" s="115"/>
    </row>
    <row r="54" ht="8.25" customHeight="1">
      <c r="A54" s="114" t="s">
        <v>312</v>
      </c>
      <c r="C54" s="115"/>
      <c r="D54" s="136"/>
      <c r="E54" s="145">
        <v>0.0</v>
      </c>
      <c r="F54" s="138"/>
      <c r="J54" s="115"/>
      <c r="K54" s="142"/>
      <c r="N54" s="115"/>
      <c r="O54" s="146" t="s">
        <v>313</v>
      </c>
      <c r="Q54" s="115"/>
    </row>
    <row r="55" ht="8.25" customHeight="1">
      <c r="A55" s="122" t="s">
        <v>314</v>
      </c>
      <c r="B55" s="74"/>
      <c r="C55" s="75"/>
      <c r="D55" s="147"/>
      <c r="E55" s="135"/>
      <c r="F55" s="130"/>
      <c r="G55" s="74"/>
      <c r="H55" s="74"/>
      <c r="I55" s="74"/>
      <c r="J55" s="75"/>
      <c r="K55" s="73"/>
      <c r="L55" s="74"/>
      <c r="M55" s="74"/>
      <c r="N55" s="75"/>
      <c r="O55" s="140" t="s">
        <v>315</v>
      </c>
      <c r="P55" s="74"/>
      <c r="Q55" s="75"/>
    </row>
    <row r="56" ht="8.25" customHeight="1">
      <c r="A56" s="102" t="s">
        <v>316</v>
      </c>
      <c r="B56" s="65"/>
      <c r="C56" s="18"/>
      <c r="D56" s="148">
        <v>100.0</v>
      </c>
      <c r="E56" s="149">
        <v>53.0</v>
      </c>
      <c r="F56" s="85">
        <v>100.0</v>
      </c>
      <c r="G56" s="65"/>
      <c r="H56" s="65"/>
      <c r="I56" s="65"/>
      <c r="J56" s="18"/>
      <c r="K56" s="86"/>
      <c r="L56" s="65"/>
      <c r="M56" s="65"/>
      <c r="N56" s="18"/>
      <c r="O56" s="81">
        <v>0.0</v>
      </c>
      <c r="P56" s="65"/>
      <c r="Q56" s="18"/>
    </row>
    <row r="57" ht="8.25" customHeight="1">
      <c r="A57" s="87" t="s">
        <v>317</v>
      </c>
      <c r="B57" s="65"/>
      <c r="C57" s="18"/>
      <c r="D57" s="150">
        <v>4801669.0</v>
      </c>
      <c r="E57" s="151">
        <v>4756037.0</v>
      </c>
      <c r="F57" s="90">
        <v>5718606.0</v>
      </c>
      <c r="G57" s="65"/>
      <c r="H57" s="65"/>
      <c r="I57" s="65"/>
      <c r="J57" s="18"/>
      <c r="K57" s="90">
        <v>916937.0</v>
      </c>
      <c r="L57" s="65"/>
      <c r="M57" s="65"/>
      <c r="N57" s="18"/>
      <c r="O57" s="91">
        <v>0.191</v>
      </c>
      <c r="P57" s="65"/>
      <c r="Q57" s="18"/>
    </row>
    <row r="58" ht="8.25" customHeight="1">
      <c r="A58" s="82" t="s">
        <v>318</v>
      </c>
      <c r="B58" s="68"/>
      <c r="C58" s="69"/>
      <c r="D58" s="111"/>
      <c r="E58" s="112"/>
      <c r="F58" s="113"/>
      <c r="G58" s="68"/>
      <c r="H58" s="68"/>
      <c r="I58" s="68"/>
      <c r="J58" s="69"/>
      <c r="K58" s="113"/>
      <c r="L58" s="68"/>
      <c r="M58" s="68"/>
      <c r="N58" s="69"/>
      <c r="O58" s="113"/>
      <c r="P58" s="68"/>
      <c r="Q58" s="69"/>
    </row>
    <row r="59" ht="8.25" customHeight="1">
      <c r="A59" s="114" t="s">
        <v>319</v>
      </c>
      <c r="C59" s="115"/>
      <c r="D59" s="116">
        <v>205725.0</v>
      </c>
      <c r="E59" s="117">
        <v>180506.0</v>
      </c>
      <c r="F59" s="118">
        <v>202870.0</v>
      </c>
      <c r="J59" s="115"/>
      <c r="K59" s="120">
        <v>-2855.0</v>
      </c>
      <c r="N59" s="115"/>
      <c r="O59" s="121" t="s">
        <v>320</v>
      </c>
      <c r="Q59" s="115"/>
    </row>
    <row r="60" ht="8.25" customHeight="1">
      <c r="A60" s="114" t="s">
        <v>321</v>
      </c>
      <c r="C60" s="115"/>
      <c r="D60" s="116">
        <v>21579.0</v>
      </c>
      <c r="E60" s="117">
        <v>20798.0</v>
      </c>
      <c r="F60" s="118">
        <v>21768.0</v>
      </c>
      <c r="J60" s="115"/>
      <c r="K60" s="129">
        <v>189.0</v>
      </c>
      <c r="N60" s="115"/>
      <c r="O60" s="119">
        <v>0.009</v>
      </c>
      <c r="Q60" s="115"/>
    </row>
    <row r="61" ht="8.25" customHeight="1">
      <c r="A61" s="114" t="s">
        <v>322</v>
      </c>
      <c r="C61" s="115"/>
      <c r="D61" s="116">
        <v>65665.0</v>
      </c>
      <c r="E61" s="117">
        <v>68217.0</v>
      </c>
      <c r="F61" s="118">
        <v>67413.0</v>
      </c>
      <c r="J61" s="115"/>
      <c r="K61" s="118">
        <v>1747.0</v>
      </c>
      <c r="N61" s="115"/>
      <c r="O61" s="119">
        <v>0.027</v>
      </c>
      <c r="Q61" s="115"/>
    </row>
    <row r="62" ht="8.25" customHeight="1">
      <c r="A62" s="114" t="s">
        <v>323</v>
      </c>
      <c r="C62" s="115"/>
      <c r="D62" s="143">
        <v>753.0</v>
      </c>
      <c r="E62" s="144">
        <v>696.0</v>
      </c>
      <c r="F62" s="129">
        <v>758.0</v>
      </c>
      <c r="J62" s="115"/>
      <c r="K62" s="129">
        <v>5.0</v>
      </c>
      <c r="N62" s="115"/>
      <c r="O62" s="119">
        <v>0.007</v>
      </c>
      <c r="Q62" s="115"/>
    </row>
    <row r="63" ht="8.25" customHeight="1">
      <c r="A63" s="114" t="s">
        <v>324</v>
      </c>
      <c r="C63" s="115"/>
      <c r="D63" s="116">
        <v>38157.0</v>
      </c>
      <c r="E63" s="117">
        <v>33590.0</v>
      </c>
      <c r="F63" s="118">
        <v>39363.0</v>
      </c>
      <c r="J63" s="115"/>
      <c r="K63" s="118">
        <v>1206.0</v>
      </c>
      <c r="N63" s="115"/>
      <c r="O63" s="119">
        <v>0.032</v>
      </c>
      <c r="Q63" s="115"/>
    </row>
    <row r="64" ht="8.25" customHeight="1">
      <c r="A64" s="114" t="s">
        <v>325</v>
      </c>
      <c r="C64" s="115"/>
      <c r="D64" s="116">
        <v>51362.0</v>
      </c>
      <c r="E64" s="117">
        <v>51572.0</v>
      </c>
      <c r="F64" s="118">
        <v>59855.0</v>
      </c>
      <c r="J64" s="115"/>
      <c r="K64" s="118">
        <v>8493.0</v>
      </c>
      <c r="N64" s="115"/>
      <c r="O64" s="119">
        <v>0.165</v>
      </c>
      <c r="Q64" s="115"/>
    </row>
    <row r="65" ht="8.25" customHeight="1">
      <c r="A65" s="114" t="s">
        <v>326</v>
      </c>
      <c r="C65" s="115"/>
      <c r="D65" s="116">
        <v>2175.0</v>
      </c>
      <c r="E65" s="117">
        <v>2329.0</v>
      </c>
      <c r="F65" s="118">
        <v>1968.0</v>
      </c>
      <c r="J65" s="115"/>
      <c r="K65" s="131">
        <v>-208.0</v>
      </c>
      <c r="N65" s="115"/>
      <c r="O65" s="121" t="s">
        <v>327</v>
      </c>
      <c r="Q65" s="115"/>
    </row>
    <row r="66" ht="8.25" customHeight="1">
      <c r="A66" s="114" t="s">
        <v>328</v>
      </c>
      <c r="C66" s="115"/>
      <c r="D66" s="116">
        <v>18463.0</v>
      </c>
      <c r="E66" s="117">
        <v>18463.0</v>
      </c>
      <c r="F66" s="118">
        <v>18953.0</v>
      </c>
      <c r="J66" s="115"/>
      <c r="K66" s="129">
        <v>490.0</v>
      </c>
      <c r="N66" s="115"/>
      <c r="O66" s="119">
        <v>0.027</v>
      </c>
      <c r="Q66" s="115"/>
    </row>
    <row r="67" ht="8.25" customHeight="1">
      <c r="A67" s="114" t="s">
        <v>329</v>
      </c>
      <c r="C67" s="115"/>
      <c r="D67" s="116">
        <v>5743.0</v>
      </c>
      <c r="E67" s="117">
        <v>5743.0</v>
      </c>
      <c r="F67" s="118">
        <v>5886.0</v>
      </c>
      <c r="J67" s="115"/>
      <c r="K67" s="129">
        <v>144.0</v>
      </c>
      <c r="N67" s="115"/>
      <c r="O67" s="119">
        <v>0.025</v>
      </c>
      <c r="Q67" s="115"/>
    </row>
    <row r="68" ht="8.25" customHeight="1">
      <c r="A68" s="114" t="s">
        <v>330</v>
      </c>
      <c r="C68" s="115"/>
      <c r="D68" s="116">
        <v>1331285.0</v>
      </c>
      <c r="E68" s="117">
        <v>1276130.0</v>
      </c>
      <c r="F68" s="118">
        <v>1422542.0</v>
      </c>
      <c r="J68" s="115"/>
      <c r="K68" s="118">
        <v>91257.0</v>
      </c>
      <c r="N68" s="115"/>
      <c r="O68" s="119">
        <v>0.069</v>
      </c>
      <c r="Q68" s="115"/>
    </row>
    <row r="69" ht="8.25" customHeight="1">
      <c r="A69" s="114" t="s">
        <v>331</v>
      </c>
      <c r="C69" s="115"/>
      <c r="D69" s="116">
        <v>7918.0</v>
      </c>
      <c r="E69" s="117">
        <v>8468.0</v>
      </c>
      <c r="F69" s="118">
        <v>9434.0</v>
      </c>
      <c r="J69" s="115"/>
      <c r="K69" s="118">
        <v>1516.0</v>
      </c>
      <c r="N69" s="115"/>
      <c r="O69" s="119">
        <v>0.191</v>
      </c>
      <c r="Q69" s="115"/>
    </row>
    <row r="70" ht="8.25" customHeight="1">
      <c r="A70" s="114" t="s">
        <v>332</v>
      </c>
      <c r="C70" s="115"/>
      <c r="D70" s="116">
        <v>189588.0</v>
      </c>
      <c r="E70" s="117">
        <v>194890.0</v>
      </c>
      <c r="F70" s="118">
        <v>198043.0</v>
      </c>
      <c r="J70" s="115"/>
      <c r="K70" s="118">
        <v>8455.0</v>
      </c>
      <c r="N70" s="115"/>
      <c r="O70" s="119">
        <v>0.045</v>
      </c>
      <c r="Q70" s="115"/>
    </row>
    <row r="71" ht="8.25" customHeight="1">
      <c r="A71" s="114" t="s">
        <v>333</v>
      </c>
      <c r="C71" s="115"/>
      <c r="D71" s="116">
        <v>1066.0</v>
      </c>
      <c r="E71" s="144">
        <v>853.0</v>
      </c>
      <c r="F71" s="118">
        <v>1066.0</v>
      </c>
      <c r="J71" s="115"/>
      <c r="K71" s="138"/>
      <c r="N71" s="115"/>
      <c r="O71" s="119">
        <v>0.0</v>
      </c>
      <c r="Q71" s="115"/>
    </row>
    <row r="72" ht="8.25" customHeight="1">
      <c r="A72" s="122" t="s">
        <v>334</v>
      </c>
      <c r="B72" s="74"/>
      <c r="C72" s="75"/>
      <c r="D72" s="123">
        <v>11358.0</v>
      </c>
      <c r="E72" s="135"/>
      <c r="F72" s="125">
        <v>12224.0</v>
      </c>
      <c r="G72" s="74"/>
      <c r="H72" s="74"/>
      <c r="I72" s="74"/>
      <c r="J72" s="75"/>
      <c r="K72" s="134">
        <v>866.0</v>
      </c>
      <c r="L72" s="74"/>
      <c r="M72" s="74"/>
      <c r="N72" s="75"/>
      <c r="O72" s="126">
        <v>0.076</v>
      </c>
      <c r="P72" s="74"/>
      <c r="Q72" s="75"/>
    </row>
    <row r="73" ht="8.25" customHeight="1">
      <c r="A73" s="87" t="s">
        <v>335</v>
      </c>
      <c r="B73" s="65"/>
      <c r="C73" s="18"/>
      <c r="D73" s="150">
        <v>1950838.0</v>
      </c>
      <c r="E73" s="151">
        <v>1862255.0</v>
      </c>
      <c r="F73" s="90">
        <v>2062143.0</v>
      </c>
      <c r="G73" s="65"/>
      <c r="H73" s="65"/>
      <c r="I73" s="65"/>
      <c r="J73" s="18"/>
      <c r="K73" s="90">
        <v>111305.0</v>
      </c>
      <c r="L73" s="65"/>
      <c r="M73" s="65"/>
      <c r="N73" s="18"/>
      <c r="O73" s="91">
        <v>0.057</v>
      </c>
      <c r="P73" s="65"/>
      <c r="Q73" s="18"/>
    </row>
    <row r="74" ht="8.25" customHeight="1">
      <c r="A74" s="87" t="s">
        <v>336</v>
      </c>
      <c r="B74" s="65"/>
      <c r="C74" s="18"/>
      <c r="D74" s="150">
        <v>6752508.0</v>
      </c>
      <c r="E74" s="151">
        <v>6618291.0</v>
      </c>
      <c r="F74" s="90">
        <v>7780749.0</v>
      </c>
      <c r="G74" s="65"/>
      <c r="H74" s="65"/>
      <c r="I74" s="65"/>
      <c r="J74" s="18"/>
      <c r="K74" s="90">
        <v>1028241.0</v>
      </c>
      <c r="L74" s="65"/>
      <c r="M74" s="65"/>
      <c r="N74" s="18"/>
      <c r="O74" s="91">
        <v>0.152</v>
      </c>
      <c r="P74" s="65"/>
      <c r="Q74" s="18"/>
    </row>
    <row r="75" ht="10.5" customHeight="1">
      <c r="A75" s="92" t="s">
        <v>151</v>
      </c>
      <c r="D75" s="152"/>
      <c r="E75" s="153"/>
      <c r="F75" s="95"/>
      <c r="G75" s="96"/>
      <c r="H75" s="96"/>
      <c r="I75" s="96"/>
      <c r="J75" s="96"/>
      <c r="K75" s="97"/>
      <c r="L75" s="97"/>
      <c r="M75" s="97"/>
      <c r="N75" s="97"/>
      <c r="O75" s="98"/>
      <c r="P75" s="98"/>
      <c r="Q75" s="98"/>
    </row>
    <row r="76" ht="12.0" customHeight="1">
      <c r="A76" s="154" t="s">
        <v>105</v>
      </c>
      <c r="D76" s="152">
        <v>150000.0</v>
      </c>
      <c r="E76" s="153">
        <v>150000.0</v>
      </c>
      <c r="F76" s="155" t="s">
        <v>337</v>
      </c>
      <c r="G76" s="65"/>
      <c r="H76" s="65"/>
      <c r="I76" s="65"/>
      <c r="J76" s="18"/>
      <c r="K76" s="156">
        <v>60193.0</v>
      </c>
      <c r="L76" s="65"/>
      <c r="M76" s="65"/>
      <c r="N76" s="18"/>
      <c r="O76" s="157" t="s">
        <v>338</v>
      </c>
      <c r="P76" s="65"/>
      <c r="Q76" s="18"/>
    </row>
    <row r="77" ht="10.5" customHeight="1">
      <c r="A77" s="158" t="s">
        <v>108</v>
      </c>
      <c r="D77" s="159">
        <v>180860.0</v>
      </c>
      <c r="E77" s="160">
        <v>167781.0</v>
      </c>
      <c r="F77" s="161"/>
      <c r="G77" s="162"/>
      <c r="H77" s="162"/>
      <c r="I77" s="162"/>
      <c r="J77" s="162"/>
      <c r="K77" s="162"/>
      <c r="L77" s="162"/>
      <c r="M77" s="162"/>
      <c r="N77" s="162"/>
      <c r="O77" s="163"/>
      <c r="P77" s="163"/>
      <c r="Q77" s="163"/>
    </row>
    <row r="78" ht="8.25" customHeight="1">
      <c r="A78" s="102" t="s">
        <v>339</v>
      </c>
      <c r="B78" s="65"/>
      <c r="C78" s="18"/>
      <c r="D78" s="128">
        <v>330860.0</v>
      </c>
      <c r="E78" s="128">
        <v>317781.0</v>
      </c>
      <c r="F78" s="80">
        <v>391053.0</v>
      </c>
      <c r="G78" s="65"/>
      <c r="H78" s="65"/>
      <c r="I78" s="65"/>
      <c r="J78" s="18"/>
      <c r="K78" s="80">
        <v>60193.0</v>
      </c>
      <c r="L78" s="65"/>
      <c r="M78" s="65"/>
      <c r="N78" s="18"/>
      <c r="O78" s="81">
        <v>0.182</v>
      </c>
      <c r="P78" s="65"/>
      <c r="Q78" s="18"/>
    </row>
    <row r="79" ht="8.25" customHeight="1">
      <c r="A79" s="158" t="s">
        <v>110</v>
      </c>
      <c r="D79" s="159">
        <v>166311.0</v>
      </c>
      <c r="E79" s="160">
        <v>166311.0</v>
      </c>
      <c r="F79" s="161"/>
      <c r="G79" s="162"/>
      <c r="H79" s="162"/>
      <c r="I79" s="162"/>
      <c r="J79" s="162"/>
      <c r="K79" s="164"/>
      <c r="L79" s="164"/>
      <c r="M79" s="164"/>
      <c r="N79" s="164"/>
      <c r="O79" s="165"/>
      <c r="P79" s="165"/>
      <c r="Q79" s="165"/>
    </row>
    <row r="80" ht="8.25" customHeight="1">
      <c r="A80" s="158" t="s">
        <v>113</v>
      </c>
      <c r="D80" s="152">
        <v>120566.0</v>
      </c>
      <c r="E80" s="153">
        <v>116996.0</v>
      </c>
      <c r="F80" s="161"/>
      <c r="G80" s="162"/>
      <c r="H80" s="162"/>
      <c r="I80" s="162"/>
      <c r="J80" s="162"/>
      <c r="K80" s="164"/>
      <c r="L80" s="164"/>
      <c r="M80" s="164"/>
      <c r="N80" s="164"/>
      <c r="O80" s="165"/>
      <c r="P80" s="165"/>
      <c r="Q80" s="165"/>
    </row>
    <row r="81" ht="8.25" customHeight="1">
      <c r="A81" s="102" t="s">
        <v>340</v>
      </c>
      <c r="B81" s="65"/>
      <c r="C81" s="18"/>
      <c r="D81" s="127">
        <v>286878.0</v>
      </c>
      <c r="E81" s="128">
        <v>283308.0</v>
      </c>
      <c r="F81" s="80">
        <v>198068.0</v>
      </c>
      <c r="G81" s="65"/>
      <c r="H81" s="65"/>
      <c r="I81" s="65"/>
      <c r="J81" s="18"/>
      <c r="K81" s="83">
        <v>-88809.0</v>
      </c>
      <c r="L81" s="65"/>
      <c r="M81" s="65"/>
      <c r="N81" s="18"/>
      <c r="O81" s="84" t="s">
        <v>341</v>
      </c>
      <c r="P81" s="65"/>
      <c r="Q81" s="18"/>
    </row>
    <row r="82" ht="8.25" customHeight="1">
      <c r="A82" s="166" t="s">
        <v>342</v>
      </c>
      <c r="B82" s="68"/>
      <c r="C82" s="69"/>
      <c r="D82" s="111"/>
      <c r="E82" s="112"/>
      <c r="F82" s="113"/>
      <c r="G82" s="68"/>
      <c r="H82" s="68"/>
      <c r="I82" s="68"/>
      <c r="J82" s="69"/>
      <c r="K82" s="113"/>
      <c r="L82" s="68"/>
      <c r="M82" s="68"/>
      <c r="N82" s="69"/>
      <c r="O82" s="113"/>
      <c r="P82" s="68"/>
      <c r="Q82" s="69"/>
    </row>
    <row r="83" ht="8.25" customHeight="1">
      <c r="A83" s="114" t="s">
        <v>343</v>
      </c>
      <c r="C83" s="115"/>
      <c r="D83" s="116">
        <v>98639.0</v>
      </c>
      <c r="E83" s="117">
        <v>106597.0</v>
      </c>
      <c r="F83" s="118">
        <v>105649.0</v>
      </c>
      <c r="J83" s="115"/>
      <c r="K83" s="118">
        <v>7010.0</v>
      </c>
      <c r="N83" s="115"/>
      <c r="O83" s="119">
        <v>0.071</v>
      </c>
      <c r="Q83" s="115"/>
    </row>
    <row r="84" ht="8.25" customHeight="1">
      <c r="A84" s="114" t="s">
        <v>344</v>
      </c>
      <c r="C84" s="115"/>
      <c r="D84" s="116">
        <v>47000.0</v>
      </c>
      <c r="E84" s="117">
        <v>60000.0</v>
      </c>
      <c r="F84" s="118">
        <v>52500.0</v>
      </c>
      <c r="J84" s="115"/>
      <c r="K84" s="118">
        <v>5500.0</v>
      </c>
      <c r="N84" s="115"/>
      <c r="O84" s="119">
        <v>0.117</v>
      </c>
      <c r="Q84" s="115"/>
    </row>
    <row r="85" ht="8.25" customHeight="1">
      <c r="A85" s="114" t="s">
        <v>345</v>
      </c>
      <c r="C85" s="115"/>
      <c r="D85" s="116">
        <v>45272.0</v>
      </c>
      <c r="E85" s="117">
        <v>52500.0</v>
      </c>
      <c r="F85" s="118">
        <v>49500.0</v>
      </c>
      <c r="J85" s="115"/>
      <c r="K85" s="118">
        <v>4228.0</v>
      </c>
      <c r="N85" s="115"/>
      <c r="O85" s="119">
        <v>0.093</v>
      </c>
      <c r="Q85" s="115"/>
    </row>
    <row r="86" ht="8.25" customHeight="1">
      <c r="A86" s="114" t="s">
        <v>346</v>
      </c>
      <c r="C86" s="115"/>
      <c r="D86" s="116">
        <v>899752.0</v>
      </c>
      <c r="E86" s="117">
        <v>879752.0</v>
      </c>
      <c r="F86" s="118">
        <v>989976.0</v>
      </c>
      <c r="J86" s="115"/>
      <c r="K86" s="118">
        <v>90224.0</v>
      </c>
      <c r="N86" s="115"/>
      <c r="O86" s="119">
        <v>0.1</v>
      </c>
      <c r="Q86" s="115"/>
    </row>
    <row r="87" ht="8.25" customHeight="1">
      <c r="A87" s="114" t="s">
        <v>347</v>
      </c>
      <c r="C87" s="115"/>
      <c r="D87" s="116">
        <v>82350.0</v>
      </c>
      <c r="E87" s="117">
        <v>108000.0</v>
      </c>
      <c r="F87" s="118">
        <v>140199.0</v>
      </c>
      <c r="J87" s="115"/>
      <c r="K87" s="138"/>
      <c r="N87" s="115"/>
      <c r="O87" s="119">
        <v>0.0</v>
      </c>
      <c r="Q87" s="115"/>
    </row>
    <row r="88" ht="8.25" customHeight="1">
      <c r="A88" s="114" t="s">
        <v>348</v>
      </c>
      <c r="C88" s="115"/>
      <c r="D88" s="116">
        <v>10512.0</v>
      </c>
      <c r="E88" s="117">
        <v>10352.0</v>
      </c>
      <c r="F88" s="118">
        <v>10573.0</v>
      </c>
      <c r="J88" s="115"/>
      <c r="K88" s="129">
        <v>61.0</v>
      </c>
      <c r="N88" s="115"/>
      <c r="O88" s="119">
        <v>0.006</v>
      </c>
      <c r="Q88" s="115"/>
    </row>
    <row r="89" ht="8.25" customHeight="1">
      <c r="A89" s="114" t="s">
        <v>349</v>
      </c>
      <c r="C89" s="115"/>
      <c r="D89" s="116">
        <v>153590.0</v>
      </c>
      <c r="E89" s="117">
        <v>390000.0</v>
      </c>
      <c r="F89" s="118">
        <v>160060.0</v>
      </c>
      <c r="J89" s="115"/>
      <c r="K89" s="118">
        <v>6469.0</v>
      </c>
      <c r="N89" s="115"/>
      <c r="O89" s="119">
        <v>0.042</v>
      </c>
      <c r="Q89" s="115"/>
    </row>
    <row r="90" ht="8.25" customHeight="1">
      <c r="A90" s="114" t="s">
        <v>350</v>
      </c>
      <c r="C90" s="115"/>
      <c r="D90" s="116">
        <v>80000.0</v>
      </c>
      <c r="E90" s="117">
        <v>83940.0</v>
      </c>
      <c r="F90" s="118">
        <v>60000.0</v>
      </c>
      <c r="J90" s="115"/>
      <c r="K90" s="120">
        <v>-20000.0</v>
      </c>
      <c r="N90" s="115"/>
      <c r="O90" s="121" t="s">
        <v>351</v>
      </c>
      <c r="Q90" s="115"/>
    </row>
    <row r="91" ht="8.25" customHeight="1">
      <c r="A91" s="114" t="s">
        <v>352</v>
      </c>
      <c r="C91" s="115"/>
      <c r="D91" s="116">
        <v>340415.0</v>
      </c>
      <c r="E91" s="117">
        <v>232131.0</v>
      </c>
      <c r="F91" s="118">
        <v>573862.0</v>
      </c>
      <c r="J91" s="115"/>
      <c r="K91" s="118">
        <v>233447.0</v>
      </c>
      <c r="N91" s="115"/>
      <c r="O91" s="119">
        <v>0.686</v>
      </c>
      <c r="Q91" s="115"/>
    </row>
    <row r="92" ht="8.25" customHeight="1">
      <c r="A92" s="114" t="s">
        <v>353</v>
      </c>
      <c r="C92" s="115"/>
      <c r="D92" s="116">
        <v>91600.0</v>
      </c>
      <c r="E92" s="117">
        <v>91600.0</v>
      </c>
      <c r="F92" s="118">
        <v>91600.0</v>
      </c>
      <c r="J92" s="115"/>
      <c r="K92" s="138"/>
      <c r="N92" s="115"/>
      <c r="O92" s="119">
        <v>0.0</v>
      </c>
      <c r="Q92" s="115"/>
    </row>
    <row r="93" ht="8.25" customHeight="1">
      <c r="A93" s="114" t="s">
        <v>354</v>
      </c>
      <c r="C93" s="115"/>
      <c r="D93" s="116">
        <v>21972.0</v>
      </c>
      <c r="E93" s="117">
        <v>25678.0</v>
      </c>
      <c r="F93" s="118">
        <v>26280.0</v>
      </c>
      <c r="J93" s="115"/>
      <c r="K93" s="118">
        <v>4308.0</v>
      </c>
      <c r="N93" s="115"/>
      <c r="O93" s="119">
        <v>0.196</v>
      </c>
      <c r="Q93" s="115"/>
    </row>
    <row r="94" ht="8.25" customHeight="1">
      <c r="A94" s="114" t="s">
        <v>355</v>
      </c>
      <c r="C94" s="115"/>
      <c r="D94" s="116">
        <v>18973.0</v>
      </c>
      <c r="E94" s="117">
        <v>18973.0</v>
      </c>
      <c r="F94" s="118">
        <v>28973.0</v>
      </c>
      <c r="J94" s="115"/>
      <c r="K94" s="118">
        <v>10000.0</v>
      </c>
      <c r="N94" s="115"/>
      <c r="O94" s="119">
        <v>0.527</v>
      </c>
      <c r="Q94" s="115"/>
    </row>
    <row r="95" ht="8.25" customHeight="1">
      <c r="A95" s="114" t="s">
        <v>356</v>
      </c>
      <c r="C95" s="115"/>
      <c r="D95" s="116">
        <v>11855.0</v>
      </c>
      <c r="E95" s="117">
        <v>11855.0</v>
      </c>
      <c r="F95" s="118">
        <v>11741.0</v>
      </c>
      <c r="J95" s="115"/>
      <c r="K95" s="131">
        <v>-114.0</v>
      </c>
      <c r="N95" s="115"/>
      <c r="O95" s="121" t="s">
        <v>357</v>
      </c>
      <c r="Q95" s="115"/>
    </row>
    <row r="96" ht="8.25" customHeight="1">
      <c r="A96" s="114" t="s">
        <v>358</v>
      </c>
      <c r="C96" s="115"/>
      <c r="D96" s="116">
        <v>122706.0</v>
      </c>
      <c r="E96" s="117">
        <v>134032.0</v>
      </c>
      <c r="F96" s="118">
        <v>144994.0</v>
      </c>
      <c r="J96" s="115"/>
      <c r="K96" s="118">
        <v>22289.0</v>
      </c>
      <c r="N96" s="115"/>
      <c r="O96" s="119">
        <v>0.182</v>
      </c>
      <c r="Q96" s="115"/>
    </row>
    <row r="97" ht="8.25" customHeight="1">
      <c r="A97" s="114" t="s">
        <v>359</v>
      </c>
      <c r="C97" s="115"/>
      <c r="D97" s="116">
        <v>10231.0</v>
      </c>
      <c r="E97" s="117">
        <v>10043.0</v>
      </c>
      <c r="F97" s="118">
        <v>10094.0</v>
      </c>
      <c r="J97" s="115"/>
      <c r="K97" s="131">
        <v>-137.0</v>
      </c>
      <c r="N97" s="115"/>
      <c r="O97" s="121" t="s">
        <v>360</v>
      </c>
      <c r="Q97" s="115"/>
    </row>
    <row r="98" ht="8.25" customHeight="1">
      <c r="A98" s="114" t="s">
        <v>361</v>
      </c>
      <c r="C98" s="115"/>
      <c r="D98" s="116">
        <v>28050.0</v>
      </c>
      <c r="E98" s="117">
        <v>27200.0</v>
      </c>
      <c r="F98" s="118">
        <v>28520.0</v>
      </c>
      <c r="J98" s="115"/>
      <c r="K98" s="129">
        <v>470.0</v>
      </c>
      <c r="N98" s="115"/>
      <c r="O98" s="119">
        <v>0.017</v>
      </c>
      <c r="Q98" s="115"/>
    </row>
    <row r="99" ht="8.25" customHeight="1">
      <c r="A99" s="122" t="s">
        <v>362</v>
      </c>
      <c r="B99" s="74"/>
      <c r="C99" s="75"/>
      <c r="D99" s="123">
        <v>55000.0</v>
      </c>
      <c r="E99" s="124">
        <v>55000.0</v>
      </c>
      <c r="F99" s="125">
        <v>105000.0</v>
      </c>
      <c r="G99" s="74"/>
      <c r="H99" s="74"/>
      <c r="I99" s="74"/>
      <c r="J99" s="75"/>
      <c r="K99" s="125">
        <v>50000.0</v>
      </c>
      <c r="L99" s="74"/>
      <c r="M99" s="74"/>
      <c r="N99" s="75"/>
      <c r="O99" s="126">
        <v>0.909</v>
      </c>
      <c r="P99" s="74"/>
      <c r="Q99" s="75"/>
    </row>
    <row r="100" ht="8.25" customHeight="1">
      <c r="A100" s="102" t="s">
        <v>363</v>
      </c>
      <c r="B100" s="65"/>
      <c r="C100" s="18"/>
      <c r="D100" s="127">
        <v>2117917.0</v>
      </c>
      <c r="E100" s="128">
        <v>2297654.0</v>
      </c>
      <c r="F100" s="80">
        <v>2589520.0</v>
      </c>
      <c r="G100" s="65"/>
      <c r="H100" s="65"/>
      <c r="I100" s="65"/>
      <c r="J100" s="18"/>
      <c r="K100" s="80">
        <v>471604.0</v>
      </c>
      <c r="L100" s="65"/>
      <c r="M100" s="65"/>
      <c r="N100" s="18"/>
      <c r="O100" s="81">
        <v>0.223</v>
      </c>
      <c r="P100" s="65"/>
      <c r="Q100" s="18"/>
    </row>
    <row r="101" ht="8.25" customHeight="1">
      <c r="A101" s="166" t="s">
        <v>364</v>
      </c>
      <c r="B101" s="68"/>
      <c r="C101" s="69"/>
      <c r="D101" s="167">
        <v>332.0</v>
      </c>
      <c r="E101" s="168">
        <v>332.0</v>
      </c>
      <c r="F101" s="169">
        <v>372.0</v>
      </c>
      <c r="G101" s="68"/>
      <c r="H101" s="68"/>
      <c r="I101" s="68"/>
      <c r="J101" s="69"/>
      <c r="K101" s="169">
        <v>40.0</v>
      </c>
      <c r="L101" s="68"/>
      <c r="M101" s="68"/>
      <c r="N101" s="69"/>
      <c r="O101" s="170">
        <v>0.121</v>
      </c>
      <c r="P101" s="68"/>
      <c r="Q101" s="69"/>
    </row>
    <row r="102" ht="8.25" customHeight="1">
      <c r="A102" s="122" t="s">
        <v>365</v>
      </c>
      <c r="B102" s="74"/>
      <c r="C102" s="75"/>
      <c r="D102" s="123">
        <v>10031.0</v>
      </c>
      <c r="E102" s="124">
        <v>11182.0</v>
      </c>
      <c r="F102" s="125">
        <v>10065.0</v>
      </c>
      <c r="G102" s="74"/>
      <c r="H102" s="74"/>
      <c r="I102" s="74"/>
      <c r="J102" s="75"/>
      <c r="K102" s="134">
        <v>34.0</v>
      </c>
      <c r="L102" s="74"/>
      <c r="M102" s="74"/>
      <c r="N102" s="75"/>
      <c r="O102" s="126">
        <v>0.003</v>
      </c>
      <c r="P102" s="74"/>
      <c r="Q102" s="75"/>
    </row>
    <row r="103" ht="8.25" customHeight="1">
      <c r="A103" s="87" t="s">
        <v>366</v>
      </c>
      <c r="B103" s="65"/>
      <c r="C103" s="18"/>
      <c r="D103" s="150">
        <v>2746016.0</v>
      </c>
      <c r="E103" s="151">
        <v>2910256.0</v>
      </c>
      <c r="F103" s="90">
        <v>3189078.0</v>
      </c>
      <c r="G103" s="65"/>
      <c r="H103" s="65"/>
      <c r="I103" s="65"/>
      <c r="J103" s="18"/>
      <c r="K103" s="90">
        <v>443061.0</v>
      </c>
      <c r="L103" s="65"/>
      <c r="M103" s="65"/>
      <c r="N103" s="18"/>
      <c r="O103" s="91">
        <v>0.161</v>
      </c>
      <c r="P103" s="65"/>
      <c r="Q103" s="18"/>
    </row>
    <row r="104" ht="15.0" customHeight="1">
      <c r="A104" s="103" t="s">
        <v>367</v>
      </c>
      <c r="B104" s="65"/>
      <c r="C104" s="18"/>
      <c r="D104" s="150">
        <v>9498524.0</v>
      </c>
      <c r="E104" s="151">
        <v>9528547.0</v>
      </c>
      <c r="F104" s="90">
        <v>1.0969827E7</v>
      </c>
      <c r="G104" s="65"/>
      <c r="H104" s="65"/>
      <c r="I104" s="65"/>
      <c r="J104" s="18"/>
      <c r="K104" s="90">
        <v>1471303.0</v>
      </c>
      <c r="L104" s="65"/>
      <c r="M104" s="65"/>
      <c r="N104" s="18"/>
      <c r="O104" s="91">
        <v>0.155</v>
      </c>
      <c r="P104" s="65"/>
      <c r="Q104" s="18"/>
    </row>
    <row r="105" ht="16.5" customHeight="1">
      <c r="A105" s="171" t="s">
        <v>368</v>
      </c>
      <c r="B105" s="65"/>
      <c r="C105" s="18"/>
      <c r="D105" s="172"/>
      <c r="E105" s="173"/>
      <c r="F105" s="174"/>
      <c r="G105" s="65"/>
      <c r="H105" s="65"/>
      <c r="I105" s="65"/>
      <c r="J105" s="18"/>
      <c r="K105" s="174"/>
      <c r="L105" s="65"/>
      <c r="M105" s="65"/>
      <c r="N105" s="18"/>
      <c r="O105" s="175" t="s">
        <v>369</v>
      </c>
      <c r="P105" s="65"/>
      <c r="Q105" s="18"/>
    </row>
    <row r="106" ht="15.0" customHeight="1">
      <c r="A106" s="87" t="s">
        <v>370</v>
      </c>
      <c r="B106" s="65"/>
      <c r="C106" s="18"/>
      <c r="D106" s="150">
        <v>9498524.0</v>
      </c>
      <c r="E106" s="151">
        <v>9528547.0</v>
      </c>
      <c r="F106" s="90">
        <v>1.0969827E7</v>
      </c>
      <c r="G106" s="65"/>
      <c r="H106" s="65"/>
      <c r="I106" s="65"/>
      <c r="J106" s="18"/>
      <c r="K106" s="90">
        <v>1471303.0</v>
      </c>
      <c r="L106" s="65"/>
      <c r="M106" s="65"/>
      <c r="N106" s="18"/>
      <c r="O106" s="91">
        <v>0.155</v>
      </c>
      <c r="P106" s="65"/>
      <c r="Q106" s="18"/>
    </row>
    <row r="107" ht="8.25" customHeight="1">
      <c r="A107" s="82" t="s">
        <v>371</v>
      </c>
      <c r="B107" s="68"/>
      <c r="C107" s="69"/>
      <c r="D107" s="111"/>
      <c r="E107" s="112"/>
      <c r="F107" s="113"/>
      <c r="G107" s="68"/>
      <c r="H107" s="68"/>
      <c r="I107" s="68"/>
      <c r="J107" s="69"/>
      <c r="K107" s="113"/>
      <c r="L107" s="68"/>
      <c r="M107" s="68"/>
      <c r="N107" s="69"/>
      <c r="O107" s="113"/>
      <c r="P107" s="68"/>
      <c r="Q107" s="69"/>
    </row>
    <row r="108" ht="8.25" customHeight="1">
      <c r="A108" s="114" t="s">
        <v>372</v>
      </c>
      <c r="C108" s="115"/>
      <c r="D108" s="116">
        <v>424579.0</v>
      </c>
      <c r="E108" s="117">
        <v>425869.0</v>
      </c>
      <c r="F108" s="118">
        <v>443787.0</v>
      </c>
      <c r="J108" s="115"/>
      <c r="K108" s="118">
        <v>19208.0</v>
      </c>
      <c r="N108" s="115"/>
      <c r="O108" s="119">
        <v>0.045</v>
      </c>
      <c r="Q108" s="115"/>
    </row>
    <row r="109" ht="8.25" customHeight="1">
      <c r="A109" s="114" t="s">
        <v>373</v>
      </c>
      <c r="C109" s="115"/>
      <c r="D109" s="116">
        <v>162522.0</v>
      </c>
      <c r="E109" s="117">
        <v>171130.0</v>
      </c>
      <c r="F109" s="118">
        <v>186094.0</v>
      </c>
      <c r="J109" s="115"/>
      <c r="K109" s="118">
        <v>23573.0</v>
      </c>
      <c r="N109" s="115"/>
      <c r="O109" s="119">
        <v>0.145</v>
      </c>
      <c r="Q109" s="115"/>
    </row>
    <row r="110" ht="8.25" customHeight="1">
      <c r="A110" s="122" t="s">
        <v>374</v>
      </c>
      <c r="B110" s="74"/>
      <c r="C110" s="75"/>
      <c r="D110" s="123">
        <v>1548402.0</v>
      </c>
      <c r="E110" s="124">
        <v>1553226.0</v>
      </c>
      <c r="F110" s="125">
        <v>1610763.0</v>
      </c>
      <c r="G110" s="74"/>
      <c r="H110" s="74"/>
      <c r="I110" s="74"/>
      <c r="J110" s="75"/>
      <c r="K110" s="125">
        <v>62361.0</v>
      </c>
      <c r="L110" s="74"/>
      <c r="M110" s="74"/>
      <c r="N110" s="75"/>
      <c r="O110" s="126">
        <v>0.04</v>
      </c>
      <c r="P110" s="74"/>
      <c r="Q110" s="75"/>
    </row>
    <row r="111" ht="8.25" customHeight="1">
      <c r="A111" s="87" t="s">
        <v>375</v>
      </c>
      <c r="B111" s="65"/>
      <c r="C111" s="18"/>
      <c r="D111" s="104">
        <v>2135502.0</v>
      </c>
      <c r="E111" s="105">
        <v>2150226.0</v>
      </c>
      <c r="F111" s="106" t="s">
        <v>376</v>
      </c>
      <c r="G111" s="65"/>
      <c r="H111" s="65"/>
      <c r="I111" s="65"/>
      <c r="J111" s="18"/>
      <c r="K111" s="106" t="s">
        <v>377</v>
      </c>
      <c r="L111" s="65"/>
      <c r="M111" s="65"/>
      <c r="N111" s="18"/>
      <c r="O111" s="91">
        <v>0.049</v>
      </c>
      <c r="P111" s="65"/>
      <c r="Q111" s="18"/>
    </row>
    <row r="112" ht="12.75" customHeight="1">
      <c r="A112" s="107" t="s">
        <v>242</v>
      </c>
      <c r="B112" s="65"/>
      <c r="C112" s="18"/>
      <c r="D112" s="108">
        <f t="shared" ref="D112:E112" si="1">SUM(D111,D106)</f>
        <v>11634026</v>
      </c>
      <c r="E112" s="108">
        <f t="shared" si="1"/>
        <v>11678773</v>
      </c>
    </row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27">
    <mergeCell ref="A27:C27"/>
    <mergeCell ref="F27:J27"/>
    <mergeCell ref="K27:N27"/>
    <mergeCell ref="O27:Q27"/>
    <mergeCell ref="F28:J28"/>
    <mergeCell ref="K28:N28"/>
    <mergeCell ref="O28:Q28"/>
    <mergeCell ref="A28:C28"/>
    <mergeCell ref="A29:C29"/>
    <mergeCell ref="F29:J29"/>
    <mergeCell ref="K29:N29"/>
    <mergeCell ref="O29:Q29"/>
    <mergeCell ref="A30:C30"/>
    <mergeCell ref="A31:C31"/>
    <mergeCell ref="F25:J25"/>
    <mergeCell ref="F26:J26"/>
    <mergeCell ref="K26:N26"/>
    <mergeCell ref="O26:Q26"/>
    <mergeCell ref="A23:C23"/>
    <mergeCell ref="A24:C24"/>
    <mergeCell ref="F24:J24"/>
    <mergeCell ref="K24:N24"/>
    <mergeCell ref="O24:Q24"/>
    <mergeCell ref="A25:C25"/>
    <mergeCell ref="A26:C26"/>
    <mergeCell ref="K30:N30"/>
    <mergeCell ref="O30:Q30"/>
    <mergeCell ref="F30:J30"/>
    <mergeCell ref="F31:J31"/>
    <mergeCell ref="K31:N31"/>
    <mergeCell ref="O31:Q31"/>
    <mergeCell ref="K35:N35"/>
    <mergeCell ref="O35:Q35"/>
    <mergeCell ref="A37:C37"/>
    <mergeCell ref="F37:J37"/>
    <mergeCell ref="K37:N37"/>
    <mergeCell ref="O37:Q37"/>
    <mergeCell ref="F38:J38"/>
    <mergeCell ref="K38:N38"/>
    <mergeCell ref="O38:Q38"/>
    <mergeCell ref="A38:C38"/>
    <mergeCell ref="A39:C39"/>
    <mergeCell ref="F39:J39"/>
    <mergeCell ref="K39:N39"/>
    <mergeCell ref="O39:Q39"/>
    <mergeCell ref="A40:C40"/>
    <mergeCell ref="A41:C41"/>
    <mergeCell ref="A32:C32"/>
    <mergeCell ref="F32:J32"/>
    <mergeCell ref="K32:N32"/>
    <mergeCell ref="O32:Q32"/>
    <mergeCell ref="F33:J33"/>
    <mergeCell ref="K33:N33"/>
    <mergeCell ref="O33:Q33"/>
    <mergeCell ref="F35:J35"/>
    <mergeCell ref="F36:J36"/>
    <mergeCell ref="K36:N36"/>
    <mergeCell ref="O36:Q36"/>
    <mergeCell ref="A33:C33"/>
    <mergeCell ref="A34:C34"/>
    <mergeCell ref="F34:J34"/>
    <mergeCell ref="K34:N34"/>
    <mergeCell ref="O34:Q34"/>
    <mergeCell ref="A35:C35"/>
    <mergeCell ref="A36:C36"/>
    <mergeCell ref="K40:N40"/>
    <mergeCell ref="O40:Q40"/>
    <mergeCell ref="A44:C44"/>
    <mergeCell ref="A45:C45"/>
    <mergeCell ref="O45:Q45"/>
    <mergeCell ref="F40:J40"/>
    <mergeCell ref="F41:J41"/>
    <mergeCell ref="A42:C42"/>
    <mergeCell ref="F42:J42"/>
    <mergeCell ref="A43:C43"/>
    <mergeCell ref="F43:J43"/>
    <mergeCell ref="F44:J44"/>
    <mergeCell ref="F45:J45"/>
    <mergeCell ref="F55:J55"/>
    <mergeCell ref="O55:Q55"/>
    <mergeCell ref="F49:J49"/>
    <mergeCell ref="F50:J50"/>
    <mergeCell ref="K50:N50"/>
    <mergeCell ref="O50:Q50"/>
    <mergeCell ref="F51:J51"/>
    <mergeCell ref="K51:N55"/>
    <mergeCell ref="F52:J52"/>
    <mergeCell ref="K41:N41"/>
    <mergeCell ref="O41:Q41"/>
    <mergeCell ref="K42:N42"/>
    <mergeCell ref="O42:Q42"/>
    <mergeCell ref="K43:N43"/>
    <mergeCell ref="O43:Q43"/>
    <mergeCell ref="O44:Q44"/>
    <mergeCell ref="K44:N44"/>
    <mergeCell ref="K45:N45"/>
    <mergeCell ref="A46:C46"/>
    <mergeCell ref="F46:J46"/>
    <mergeCell ref="K46:N46"/>
    <mergeCell ref="O46:Q46"/>
    <mergeCell ref="O47:Q47"/>
    <mergeCell ref="F47:J47"/>
    <mergeCell ref="K47:N47"/>
    <mergeCell ref="F48:J48"/>
    <mergeCell ref="K48:N48"/>
    <mergeCell ref="O48:Q48"/>
    <mergeCell ref="K49:N49"/>
    <mergeCell ref="O49:Q49"/>
    <mergeCell ref="O51:Q51"/>
    <mergeCell ref="O52:Q52"/>
    <mergeCell ref="F53:J53"/>
    <mergeCell ref="O53:Q53"/>
    <mergeCell ref="F54:J54"/>
    <mergeCell ref="O54:Q54"/>
    <mergeCell ref="F56:J56"/>
    <mergeCell ref="K56:N56"/>
    <mergeCell ref="O56:Q56"/>
    <mergeCell ref="K66:N66"/>
    <mergeCell ref="O66:Q66"/>
    <mergeCell ref="F64:J64"/>
    <mergeCell ref="K64:N64"/>
    <mergeCell ref="O64:Q64"/>
    <mergeCell ref="F65:J65"/>
    <mergeCell ref="K65:N65"/>
    <mergeCell ref="O65:Q65"/>
    <mergeCell ref="F66:J66"/>
    <mergeCell ref="A54:C54"/>
    <mergeCell ref="A55:C55"/>
    <mergeCell ref="A56:C56"/>
    <mergeCell ref="A57:C57"/>
    <mergeCell ref="F57:J57"/>
    <mergeCell ref="K57:N57"/>
    <mergeCell ref="O57:Q57"/>
    <mergeCell ref="A47:C47"/>
    <mergeCell ref="A48:C48"/>
    <mergeCell ref="A49:C49"/>
    <mergeCell ref="A50:C50"/>
    <mergeCell ref="A51:C51"/>
    <mergeCell ref="A52:C52"/>
    <mergeCell ref="A53:C53"/>
    <mergeCell ref="K60:N60"/>
    <mergeCell ref="O60:Q60"/>
    <mergeCell ref="F58:J58"/>
    <mergeCell ref="K58:N58"/>
    <mergeCell ref="O58:Q58"/>
    <mergeCell ref="F59:J59"/>
    <mergeCell ref="K59:N59"/>
    <mergeCell ref="O59:Q59"/>
    <mergeCell ref="F60:J60"/>
    <mergeCell ref="K63:N63"/>
    <mergeCell ref="O63:Q63"/>
    <mergeCell ref="F61:J61"/>
    <mergeCell ref="K61:N61"/>
    <mergeCell ref="O61:Q61"/>
    <mergeCell ref="F62:J62"/>
    <mergeCell ref="K62:N62"/>
    <mergeCell ref="O62:Q62"/>
    <mergeCell ref="F63:J63"/>
    <mergeCell ref="F67:J67"/>
    <mergeCell ref="K67:N67"/>
    <mergeCell ref="O67:Q67"/>
    <mergeCell ref="K81:N81"/>
    <mergeCell ref="O81:Q81"/>
    <mergeCell ref="F76:J76"/>
    <mergeCell ref="K76:N76"/>
    <mergeCell ref="O76:Q76"/>
    <mergeCell ref="F78:J78"/>
    <mergeCell ref="K78:N78"/>
    <mergeCell ref="O78:Q78"/>
    <mergeCell ref="F81:J81"/>
    <mergeCell ref="A65:C65"/>
    <mergeCell ref="A66:C66"/>
    <mergeCell ref="A67:C67"/>
    <mergeCell ref="A68:C68"/>
    <mergeCell ref="F68:J68"/>
    <mergeCell ref="K68:N68"/>
    <mergeCell ref="O68:Q68"/>
    <mergeCell ref="A58:C58"/>
    <mergeCell ref="A59:C59"/>
    <mergeCell ref="A60:C60"/>
    <mergeCell ref="A61:C61"/>
    <mergeCell ref="A62:C62"/>
    <mergeCell ref="A63:C63"/>
    <mergeCell ref="A64:C64"/>
    <mergeCell ref="K71:N71"/>
    <mergeCell ref="O71:Q71"/>
    <mergeCell ref="F69:J69"/>
    <mergeCell ref="K69:N69"/>
    <mergeCell ref="O69:Q69"/>
    <mergeCell ref="F70:J70"/>
    <mergeCell ref="K70:N70"/>
    <mergeCell ref="O70:Q70"/>
    <mergeCell ref="F71:J71"/>
    <mergeCell ref="K74:N74"/>
    <mergeCell ref="O74:Q74"/>
    <mergeCell ref="F72:J72"/>
    <mergeCell ref="K72:N72"/>
    <mergeCell ref="O72:Q72"/>
    <mergeCell ref="F73:J73"/>
    <mergeCell ref="K73:N73"/>
    <mergeCell ref="O73:Q73"/>
    <mergeCell ref="F74:J74"/>
    <mergeCell ref="F82:J82"/>
    <mergeCell ref="K82:N82"/>
    <mergeCell ref="O82:Q82"/>
    <mergeCell ref="A84:C84"/>
    <mergeCell ref="A85:C85"/>
    <mergeCell ref="F85:J85"/>
    <mergeCell ref="K85:N85"/>
    <mergeCell ref="O85:Q85"/>
    <mergeCell ref="F86:J86"/>
    <mergeCell ref="K86:N86"/>
    <mergeCell ref="O86:Q86"/>
    <mergeCell ref="A86:C86"/>
    <mergeCell ref="A87:C87"/>
    <mergeCell ref="F87:J87"/>
    <mergeCell ref="K87:N87"/>
    <mergeCell ref="O87:Q87"/>
    <mergeCell ref="A88:C88"/>
    <mergeCell ref="A89:C89"/>
    <mergeCell ref="A69:C69"/>
    <mergeCell ref="A70:C70"/>
    <mergeCell ref="A71:C71"/>
    <mergeCell ref="A72:C72"/>
    <mergeCell ref="A73:C73"/>
    <mergeCell ref="A74:C74"/>
    <mergeCell ref="A75:C75"/>
    <mergeCell ref="A83:C83"/>
    <mergeCell ref="F83:J83"/>
    <mergeCell ref="K83:N83"/>
    <mergeCell ref="O83:Q83"/>
    <mergeCell ref="F84:J84"/>
    <mergeCell ref="K84:N84"/>
    <mergeCell ref="O84:Q84"/>
    <mergeCell ref="A76:C76"/>
    <mergeCell ref="A77:C77"/>
    <mergeCell ref="A78:C78"/>
    <mergeCell ref="A79:C79"/>
    <mergeCell ref="A80:C80"/>
    <mergeCell ref="A81:C81"/>
    <mergeCell ref="A82:C82"/>
    <mergeCell ref="K88:N88"/>
    <mergeCell ref="O88:Q88"/>
    <mergeCell ref="F88:J88"/>
    <mergeCell ref="F89:J89"/>
    <mergeCell ref="K89:N89"/>
    <mergeCell ref="O89:Q89"/>
    <mergeCell ref="K93:N93"/>
    <mergeCell ref="O93:Q93"/>
    <mergeCell ref="A95:C95"/>
    <mergeCell ref="F95:J95"/>
    <mergeCell ref="K95:N95"/>
    <mergeCell ref="O95:Q95"/>
    <mergeCell ref="F96:J96"/>
    <mergeCell ref="K96:N96"/>
    <mergeCell ref="O96:Q96"/>
    <mergeCell ref="A96:C96"/>
    <mergeCell ref="A97:C97"/>
    <mergeCell ref="F97:J97"/>
    <mergeCell ref="K97:N97"/>
    <mergeCell ref="O97:Q97"/>
    <mergeCell ref="A98:C98"/>
    <mergeCell ref="A99:C99"/>
    <mergeCell ref="A90:C90"/>
    <mergeCell ref="F90:J90"/>
    <mergeCell ref="K90:N90"/>
    <mergeCell ref="O90:Q90"/>
    <mergeCell ref="F91:J91"/>
    <mergeCell ref="K91:N91"/>
    <mergeCell ref="O91:Q91"/>
    <mergeCell ref="F93:J93"/>
    <mergeCell ref="F94:J94"/>
    <mergeCell ref="K94:N94"/>
    <mergeCell ref="O94:Q94"/>
    <mergeCell ref="A91:C91"/>
    <mergeCell ref="A92:C92"/>
    <mergeCell ref="F92:J92"/>
    <mergeCell ref="K92:N92"/>
    <mergeCell ref="O92:Q92"/>
    <mergeCell ref="A93:C93"/>
    <mergeCell ref="A94:C94"/>
    <mergeCell ref="K98:N98"/>
    <mergeCell ref="O98:Q98"/>
    <mergeCell ref="A102:C102"/>
    <mergeCell ref="A103:C103"/>
    <mergeCell ref="O103:Q103"/>
    <mergeCell ref="F98:J98"/>
    <mergeCell ref="F99:J99"/>
    <mergeCell ref="A100:C100"/>
    <mergeCell ref="F100:J100"/>
    <mergeCell ref="A101:C101"/>
    <mergeCell ref="F101:J101"/>
    <mergeCell ref="F102:J102"/>
    <mergeCell ref="F103:J103"/>
    <mergeCell ref="K13:N13"/>
    <mergeCell ref="O13:Q13"/>
    <mergeCell ref="F11:J11"/>
    <mergeCell ref="K11:N11"/>
    <mergeCell ref="O11:Q11"/>
    <mergeCell ref="F12:J12"/>
    <mergeCell ref="K12:N12"/>
    <mergeCell ref="O12:Q12"/>
    <mergeCell ref="F13:J13"/>
    <mergeCell ref="A10:C10"/>
    <mergeCell ref="A11:C11"/>
    <mergeCell ref="A12:C12"/>
    <mergeCell ref="A13:C13"/>
    <mergeCell ref="F14:J14"/>
    <mergeCell ref="K14:N14"/>
    <mergeCell ref="O14:Q14"/>
    <mergeCell ref="A14:C14"/>
    <mergeCell ref="A15:C15"/>
    <mergeCell ref="F15:J15"/>
    <mergeCell ref="K15:N15"/>
    <mergeCell ref="O15:Q15"/>
    <mergeCell ref="A16:C16"/>
    <mergeCell ref="F16:J16"/>
    <mergeCell ref="F18:J18"/>
    <mergeCell ref="F19:J19"/>
    <mergeCell ref="K19:N19"/>
    <mergeCell ref="O19:Q19"/>
    <mergeCell ref="K16:N16"/>
    <mergeCell ref="O16:Q16"/>
    <mergeCell ref="F17:J17"/>
    <mergeCell ref="K17:N17"/>
    <mergeCell ref="O17:Q17"/>
    <mergeCell ref="K18:N18"/>
    <mergeCell ref="O18:Q18"/>
    <mergeCell ref="F20:J20"/>
    <mergeCell ref="F21:J21"/>
    <mergeCell ref="A17:C17"/>
    <mergeCell ref="A18:C18"/>
    <mergeCell ref="A19:C19"/>
    <mergeCell ref="A20:C20"/>
    <mergeCell ref="K20:N20"/>
    <mergeCell ref="O20:Q20"/>
    <mergeCell ref="A21:C21"/>
    <mergeCell ref="F23:J23"/>
    <mergeCell ref="K23:N23"/>
    <mergeCell ref="K21:N21"/>
    <mergeCell ref="O21:Q21"/>
    <mergeCell ref="A22:C22"/>
    <mergeCell ref="F22:J22"/>
    <mergeCell ref="K22:N22"/>
    <mergeCell ref="O22:Q22"/>
    <mergeCell ref="O23:Q23"/>
    <mergeCell ref="A1:C2"/>
    <mergeCell ref="D1:E1"/>
    <mergeCell ref="F1:J2"/>
    <mergeCell ref="K1:Q1"/>
    <mergeCell ref="K2:N2"/>
    <mergeCell ref="O2:Q2"/>
    <mergeCell ref="O3:Q3"/>
    <mergeCell ref="F3:J3"/>
    <mergeCell ref="K3:N3"/>
    <mergeCell ref="F4:J4"/>
    <mergeCell ref="K4:N4"/>
    <mergeCell ref="O4:Q4"/>
    <mergeCell ref="K5:N5"/>
    <mergeCell ref="O5:Q5"/>
    <mergeCell ref="F5:J5"/>
    <mergeCell ref="F6:J6"/>
    <mergeCell ref="K6:N6"/>
    <mergeCell ref="O6:Q6"/>
    <mergeCell ref="F7:J7"/>
    <mergeCell ref="K7:N7"/>
    <mergeCell ref="O7:Q7"/>
    <mergeCell ref="K10:N10"/>
    <mergeCell ref="O10:Q10"/>
    <mergeCell ref="F8:J8"/>
    <mergeCell ref="K8:N8"/>
    <mergeCell ref="O8:Q8"/>
    <mergeCell ref="F9:J9"/>
    <mergeCell ref="K9:N9"/>
    <mergeCell ref="O9:Q9"/>
    <mergeCell ref="F10:J10"/>
    <mergeCell ref="A3:C3"/>
    <mergeCell ref="A4:C4"/>
    <mergeCell ref="A5:C5"/>
    <mergeCell ref="A6:C6"/>
    <mergeCell ref="A7:C7"/>
    <mergeCell ref="A8:C8"/>
    <mergeCell ref="A9:C9"/>
    <mergeCell ref="K25:N25"/>
    <mergeCell ref="O25:Q25"/>
    <mergeCell ref="K99:N99"/>
    <mergeCell ref="O99:Q99"/>
    <mergeCell ref="K100:N100"/>
    <mergeCell ref="O100:Q100"/>
    <mergeCell ref="K101:N101"/>
    <mergeCell ref="O101:Q101"/>
    <mergeCell ref="O102:Q102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K102:N102"/>
    <mergeCell ref="K103:N103"/>
    <mergeCell ref="A104:C104"/>
    <mergeCell ref="F104:J104"/>
    <mergeCell ref="K104:N104"/>
    <mergeCell ref="O104:Q104"/>
    <mergeCell ref="O105:Q105"/>
    <mergeCell ref="F105:J105"/>
    <mergeCell ref="K105:N105"/>
    <mergeCell ref="F106:J106"/>
    <mergeCell ref="K106:N106"/>
    <mergeCell ref="O106:Q106"/>
    <mergeCell ref="K107:N107"/>
    <mergeCell ref="O107:Q107"/>
    <mergeCell ref="F110:J110"/>
    <mergeCell ref="K110:N110"/>
    <mergeCell ref="O110:Q110"/>
    <mergeCell ref="F111:J111"/>
    <mergeCell ref="K111:N111"/>
    <mergeCell ref="O111:Q111"/>
    <mergeCell ref="F107:J107"/>
    <mergeCell ref="F108:J108"/>
    <mergeCell ref="K108:N108"/>
    <mergeCell ref="O108:Q108"/>
    <mergeCell ref="F109:J109"/>
    <mergeCell ref="K109:N109"/>
    <mergeCell ref="O109:Q10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A6A6"/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2" width="1.88"/>
    <col customWidth="1" min="3" max="3" width="4.13"/>
    <col customWidth="1" min="4" max="4" width="1.88"/>
    <col customWidth="1" min="5" max="5" width="1.0"/>
    <col customWidth="1" min="6" max="7" width="2.88"/>
    <col customWidth="1" min="8" max="9" width="1.0"/>
    <col customWidth="1" min="10" max="10" width="1.88"/>
    <col customWidth="1" min="11" max="11" width="2.88"/>
    <col customWidth="1" min="12" max="12" width="4.13"/>
    <col customWidth="1" min="13" max="14" width="1.0"/>
    <col customWidth="1" min="15" max="15" width="4.13"/>
    <col customWidth="1" min="16" max="16" width="1.0"/>
    <col customWidth="1" min="17" max="17" width="2.88"/>
    <col customWidth="1" min="18" max="18" width="1.0"/>
    <col customWidth="1" min="19" max="19" width="6.0"/>
    <col customWidth="1" min="20" max="20" width="1.88"/>
    <col customWidth="1" min="21" max="21" width="2.88"/>
    <col customWidth="1" min="22" max="22" width="5.13"/>
    <col customWidth="1" min="23" max="23" width="1.88"/>
    <col customWidth="1" min="24" max="24" width="1.0"/>
    <col customWidth="1" min="25" max="26" width="7.63"/>
  </cols>
  <sheetData>
    <row r="1" ht="43.5" customHeight="1">
      <c r="A1" s="62" t="s">
        <v>378</v>
      </c>
    </row>
    <row r="2" ht="10.5" customHeight="1">
      <c r="A2" s="113"/>
      <c r="B2" s="68"/>
      <c r="C2" s="68"/>
      <c r="D2" s="68"/>
      <c r="E2" s="68"/>
      <c r="F2" s="68"/>
      <c r="G2" s="68"/>
      <c r="H2" s="68"/>
      <c r="I2" s="68"/>
      <c r="J2" s="69"/>
      <c r="K2" s="176">
        <v>2024.0</v>
      </c>
      <c r="L2" s="68"/>
      <c r="M2" s="68"/>
      <c r="N2" s="68"/>
      <c r="O2" s="69"/>
      <c r="P2" s="176">
        <v>2025.0</v>
      </c>
      <c r="Q2" s="68"/>
      <c r="R2" s="68"/>
      <c r="S2" s="68"/>
      <c r="T2" s="68"/>
      <c r="U2" s="69"/>
      <c r="V2" s="177"/>
    </row>
    <row r="3" ht="16.5" customHeight="1">
      <c r="A3" s="178" t="s">
        <v>379</v>
      </c>
      <c r="J3" s="115"/>
      <c r="K3" s="178" t="s">
        <v>380</v>
      </c>
      <c r="O3" s="115"/>
      <c r="P3" s="178" t="s">
        <v>381</v>
      </c>
      <c r="U3" s="115"/>
      <c r="V3" s="179"/>
    </row>
    <row r="4" ht="12.75" customHeight="1">
      <c r="A4" s="178" t="s">
        <v>382</v>
      </c>
      <c r="J4" s="115"/>
      <c r="K4" s="138"/>
      <c r="O4" s="115"/>
      <c r="P4" s="138"/>
      <c r="U4" s="115"/>
      <c r="V4" s="177"/>
    </row>
    <row r="5" ht="9.75" customHeight="1">
      <c r="A5" s="180" t="s">
        <v>383</v>
      </c>
      <c r="J5" s="115"/>
      <c r="K5" s="181">
        <v>6998850.0</v>
      </c>
      <c r="O5" s="115"/>
      <c r="P5" s="181">
        <v>7633366.0</v>
      </c>
      <c r="U5" s="115"/>
      <c r="V5" s="177"/>
    </row>
    <row r="6" ht="9.75" customHeight="1">
      <c r="A6" s="180" t="s">
        <v>384</v>
      </c>
      <c r="J6" s="115"/>
      <c r="K6" s="181">
        <v>719489.0</v>
      </c>
      <c r="O6" s="115"/>
      <c r="P6" s="181">
        <v>751644.0</v>
      </c>
      <c r="U6" s="115"/>
      <c r="V6" s="177"/>
    </row>
    <row r="7" ht="9.75" customHeight="1">
      <c r="A7" s="180" t="s">
        <v>385</v>
      </c>
      <c r="J7" s="115"/>
      <c r="K7" s="181">
        <v>70341.0</v>
      </c>
      <c r="O7" s="115"/>
      <c r="P7" s="181">
        <v>80963.0</v>
      </c>
      <c r="U7" s="115"/>
      <c r="V7" s="177"/>
    </row>
    <row r="8" ht="9.75" customHeight="1">
      <c r="A8" s="180" t="s">
        <v>386</v>
      </c>
      <c r="J8" s="115"/>
      <c r="K8" s="181">
        <v>2937754.0</v>
      </c>
      <c r="O8" s="115"/>
      <c r="P8" s="181">
        <v>3654972.0</v>
      </c>
      <c r="U8" s="115"/>
      <c r="V8" s="177"/>
    </row>
    <row r="9" ht="9.75" customHeight="1">
      <c r="A9" s="180" t="s">
        <v>387</v>
      </c>
      <c r="J9" s="115"/>
      <c r="K9" s="181">
        <v>1768.0</v>
      </c>
      <c r="O9" s="115"/>
      <c r="P9" s="181">
        <v>1768.0</v>
      </c>
      <c r="U9" s="115"/>
      <c r="V9" s="177"/>
    </row>
    <row r="10" ht="9.75" customHeight="1">
      <c r="A10" s="180" t="s">
        <v>388</v>
      </c>
      <c r="J10" s="115"/>
      <c r="K10" s="181">
        <v>735994.0</v>
      </c>
      <c r="O10" s="115"/>
      <c r="P10" s="181">
        <v>868046.0</v>
      </c>
      <c r="U10" s="115"/>
      <c r="V10" s="177"/>
    </row>
    <row r="11" ht="9.75" customHeight="1">
      <c r="A11" s="180" t="s">
        <v>389</v>
      </c>
      <c r="J11" s="115"/>
      <c r="K11" s="181">
        <v>3338248.0</v>
      </c>
      <c r="O11" s="115"/>
      <c r="P11" s="181">
        <v>3617700.0</v>
      </c>
      <c r="U11" s="115"/>
      <c r="V11" s="177"/>
    </row>
    <row r="12" ht="9.75" customHeight="1">
      <c r="A12" s="182" t="s">
        <v>390</v>
      </c>
      <c r="B12" s="74"/>
      <c r="C12" s="74"/>
      <c r="D12" s="74"/>
      <c r="E12" s="74"/>
      <c r="F12" s="74"/>
      <c r="G12" s="74"/>
      <c r="H12" s="74"/>
      <c r="I12" s="74"/>
      <c r="J12" s="75"/>
      <c r="K12" s="183">
        <v>2135502.0</v>
      </c>
      <c r="L12" s="74"/>
      <c r="M12" s="74"/>
      <c r="N12" s="74"/>
      <c r="O12" s="75"/>
      <c r="P12" s="183">
        <v>2240644.0</v>
      </c>
      <c r="Q12" s="74"/>
      <c r="R12" s="74"/>
      <c r="S12" s="74"/>
      <c r="T12" s="74"/>
      <c r="U12" s="75"/>
      <c r="V12" s="177"/>
    </row>
    <row r="13" ht="9.75" customHeight="1">
      <c r="A13" s="184" t="s">
        <v>391</v>
      </c>
      <c r="B13" s="65"/>
      <c r="C13" s="65"/>
      <c r="D13" s="65"/>
      <c r="E13" s="65"/>
      <c r="F13" s="65"/>
      <c r="G13" s="65"/>
      <c r="H13" s="65"/>
      <c r="I13" s="65"/>
      <c r="J13" s="18"/>
      <c r="K13" s="185">
        <v>1.6937945E7</v>
      </c>
      <c r="L13" s="65"/>
      <c r="M13" s="65"/>
      <c r="N13" s="65"/>
      <c r="O13" s="18"/>
      <c r="P13" s="185">
        <v>1.8849103E7</v>
      </c>
      <c r="Q13" s="65"/>
      <c r="R13" s="65"/>
      <c r="S13" s="65"/>
      <c r="T13" s="65"/>
      <c r="U13" s="18"/>
      <c r="V13" s="177"/>
    </row>
    <row r="14" ht="19.5" customHeight="1">
      <c r="A14" s="186" t="s">
        <v>392</v>
      </c>
      <c r="B14" s="68"/>
      <c r="C14" s="68"/>
      <c r="D14" s="68"/>
      <c r="E14" s="68"/>
      <c r="F14" s="68"/>
      <c r="G14" s="68"/>
      <c r="H14" s="68"/>
      <c r="I14" s="68"/>
      <c r="J14" s="69"/>
      <c r="K14" s="187"/>
      <c r="L14" s="68"/>
      <c r="M14" s="68"/>
      <c r="N14" s="68"/>
      <c r="O14" s="69"/>
      <c r="P14" s="187"/>
      <c r="Q14" s="68"/>
      <c r="R14" s="68"/>
      <c r="S14" s="68"/>
      <c r="T14" s="68"/>
      <c r="U14" s="69"/>
      <c r="V14" s="179"/>
    </row>
    <row r="15" ht="9.75" customHeight="1">
      <c r="A15" s="188" t="s">
        <v>393</v>
      </c>
      <c r="J15" s="115"/>
      <c r="K15" s="181">
        <v>2927787.0</v>
      </c>
      <c r="O15" s="115"/>
      <c r="P15" s="181">
        <v>3255238.0</v>
      </c>
      <c r="U15" s="115"/>
      <c r="V15" s="177"/>
    </row>
    <row r="16" ht="9.75" customHeight="1">
      <c r="A16" s="180" t="s">
        <v>394</v>
      </c>
      <c r="J16" s="115"/>
      <c r="K16" s="181">
        <v>984685.0</v>
      </c>
      <c r="O16" s="115"/>
      <c r="P16" s="181">
        <v>1530780.0</v>
      </c>
      <c r="U16" s="115"/>
      <c r="V16" s="177"/>
    </row>
    <row r="17" ht="9.75" customHeight="1">
      <c r="A17" s="180" t="s">
        <v>395</v>
      </c>
      <c r="J17" s="115"/>
      <c r="K17" s="181">
        <v>23978.0</v>
      </c>
      <c r="O17" s="115"/>
      <c r="P17" s="181">
        <v>24924.0</v>
      </c>
      <c r="U17" s="115"/>
      <c r="V17" s="177"/>
    </row>
    <row r="18" ht="9.75" customHeight="1">
      <c r="A18" s="180" t="s">
        <v>396</v>
      </c>
      <c r="J18" s="115"/>
      <c r="K18" s="181">
        <v>1695003.0</v>
      </c>
      <c r="O18" s="115"/>
      <c r="P18" s="181">
        <v>1845199.0</v>
      </c>
      <c r="U18" s="115"/>
      <c r="V18" s="177"/>
    </row>
    <row r="19" ht="9.75" customHeight="1">
      <c r="A19" s="180" t="s">
        <v>397</v>
      </c>
      <c r="J19" s="115"/>
      <c r="K19" s="181">
        <v>135266.0</v>
      </c>
      <c r="O19" s="115"/>
      <c r="P19" s="181">
        <v>162109.0</v>
      </c>
      <c r="U19" s="115"/>
      <c r="V19" s="177"/>
    </row>
    <row r="20" ht="9.75" customHeight="1">
      <c r="A20" s="180" t="s">
        <v>398</v>
      </c>
      <c r="J20" s="115"/>
      <c r="K20" s="181">
        <v>1191984.0</v>
      </c>
      <c r="O20" s="115"/>
      <c r="P20" s="181">
        <v>1300807.0</v>
      </c>
      <c r="U20" s="115"/>
      <c r="V20" s="177"/>
    </row>
    <row r="21" ht="9.75" customHeight="1">
      <c r="A21" s="180" t="s">
        <v>399</v>
      </c>
      <c r="J21" s="115"/>
      <c r="K21" s="181">
        <v>230750.0</v>
      </c>
      <c r="O21" s="115"/>
      <c r="P21" s="181">
        <v>284382.0</v>
      </c>
      <c r="U21" s="115"/>
      <c r="V21" s="177"/>
    </row>
    <row r="22" ht="9.75" customHeight="1">
      <c r="A22" s="180" t="s">
        <v>400</v>
      </c>
      <c r="J22" s="115"/>
      <c r="K22" s="181">
        <v>2309071.0</v>
      </c>
      <c r="O22" s="115"/>
      <c r="P22" s="181">
        <v>2566388.0</v>
      </c>
      <c r="U22" s="115"/>
      <c r="V22" s="177"/>
    </row>
    <row r="23" ht="9.75" customHeight="1">
      <c r="A23" s="182" t="s">
        <v>401</v>
      </c>
      <c r="B23" s="74"/>
      <c r="C23" s="74"/>
      <c r="D23" s="74"/>
      <c r="E23" s="74"/>
      <c r="F23" s="74"/>
      <c r="G23" s="74"/>
      <c r="H23" s="74"/>
      <c r="I23" s="74"/>
      <c r="J23" s="75"/>
      <c r="K23" s="183">
        <v>2135502.0</v>
      </c>
      <c r="L23" s="74"/>
      <c r="M23" s="74"/>
      <c r="N23" s="74"/>
      <c r="O23" s="75"/>
      <c r="P23" s="183">
        <v>2240644.0</v>
      </c>
      <c r="Q23" s="74"/>
      <c r="R23" s="74"/>
      <c r="S23" s="74"/>
      <c r="T23" s="74"/>
      <c r="U23" s="75"/>
      <c r="V23" s="177"/>
    </row>
    <row r="24" ht="9.75" customHeight="1">
      <c r="A24" s="184" t="s">
        <v>402</v>
      </c>
      <c r="B24" s="65"/>
      <c r="C24" s="65"/>
      <c r="D24" s="65"/>
      <c r="E24" s="65"/>
      <c r="F24" s="65"/>
      <c r="G24" s="65"/>
      <c r="H24" s="65"/>
      <c r="I24" s="65"/>
      <c r="J24" s="18"/>
      <c r="K24" s="185">
        <v>1.1634026E7</v>
      </c>
      <c r="L24" s="65"/>
      <c r="M24" s="65"/>
      <c r="N24" s="65"/>
      <c r="O24" s="18"/>
      <c r="P24" s="185">
        <v>1.3210471E7</v>
      </c>
      <c r="Q24" s="65"/>
      <c r="R24" s="65"/>
      <c r="S24" s="65"/>
      <c r="T24" s="65"/>
      <c r="U24" s="18"/>
      <c r="V24" s="177"/>
    </row>
    <row r="25" ht="9.0" customHeight="1">
      <c r="A25" s="113"/>
      <c r="B25" s="68"/>
      <c r="C25" s="68"/>
      <c r="D25" s="68"/>
      <c r="E25" s="68"/>
      <c r="F25" s="68"/>
      <c r="G25" s="68"/>
      <c r="H25" s="68"/>
      <c r="I25" s="68"/>
      <c r="J25" s="69"/>
      <c r="K25" s="113"/>
      <c r="L25" s="68"/>
      <c r="M25" s="68"/>
      <c r="N25" s="68"/>
      <c r="O25" s="69"/>
      <c r="P25" s="113"/>
      <c r="Q25" s="68"/>
      <c r="R25" s="68"/>
      <c r="S25" s="68"/>
      <c r="T25" s="68"/>
      <c r="U25" s="69"/>
      <c r="V25" s="177"/>
    </row>
    <row r="26" ht="11.25" customHeight="1">
      <c r="A26" s="189" t="s">
        <v>403</v>
      </c>
      <c r="B26" s="190"/>
      <c r="C26" s="190"/>
      <c r="D26" s="190"/>
      <c r="E26" s="190"/>
      <c r="F26" s="190"/>
      <c r="G26" s="190"/>
      <c r="H26" s="190"/>
      <c r="I26" s="190"/>
      <c r="J26" s="191"/>
      <c r="K26" s="192">
        <v>5303919.0</v>
      </c>
      <c r="L26" s="190"/>
      <c r="M26" s="190"/>
      <c r="N26" s="190"/>
      <c r="O26" s="191"/>
      <c r="P26" s="192">
        <v>5638632.0</v>
      </c>
      <c r="Q26" s="190"/>
      <c r="R26" s="190"/>
      <c r="S26" s="190"/>
      <c r="T26" s="190"/>
      <c r="U26" s="191"/>
      <c r="V26" s="177"/>
    </row>
    <row r="27" ht="29.25" customHeight="1">
      <c r="A27" s="193" t="s">
        <v>404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2">
    <mergeCell ref="A8:J8"/>
    <mergeCell ref="K8:O8"/>
    <mergeCell ref="P8:U8"/>
    <mergeCell ref="V8:X8"/>
    <mergeCell ref="K9:O9"/>
    <mergeCell ref="P9:U9"/>
    <mergeCell ref="V9:X9"/>
    <mergeCell ref="A9:J9"/>
    <mergeCell ref="A10:J10"/>
    <mergeCell ref="K10:O10"/>
    <mergeCell ref="P10:U10"/>
    <mergeCell ref="V10:X10"/>
    <mergeCell ref="A11:J11"/>
    <mergeCell ref="K11:O11"/>
    <mergeCell ref="A12:J12"/>
    <mergeCell ref="K12:O12"/>
    <mergeCell ref="P12:U12"/>
    <mergeCell ref="V12:X12"/>
    <mergeCell ref="K13:O13"/>
    <mergeCell ref="P13:U13"/>
    <mergeCell ref="V13:X13"/>
    <mergeCell ref="A13:J13"/>
    <mergeCell ref="A14:J14"/>
    <mergeCell ref="K14:O14"/>
    <mergeCell ref="P14:U14"/>
    <mergeCell ref="V14:X14"/>
    <mergeCell ref="A15:J15"/>
    <mergeCell ref="K15:O15"/>
    <mergeCell ref="K17:O17"/>
    <mergeCell ref="P17:U17"/>
    <mergeCell ref="P15:U15"/>
    <mergeCell ref="V15:X15"/>
    <mergeCell ref="A16:J16"/>
    <mergeCell ref="K16:O16"/>
    <mergeCell ref="P16:U16"/>
    <mergeCell ref="V16:X16"/>
    <mergeCell ref="V17:X17"/>
    <mergeCell ref="P19:U19"/>
    <mergeCell ref="V19:X19"/>
    <mergeCell ref="A17:J17"/>
    <mergeCell ref="A18:J18"/>
    <mergeCell ref="K18:O18"/>
    <mergeCell ref="P18:U18"/>
    <mergeCell ref="V18:X18"/>
    <mergeCell ref="A19:J19"/>
    <mergeCell ref="K19:O19"/>
    <mergeCell ref="A20:J20"/>
    <mergeCell ref="K20:O20"/>
    <mergeCell ref="P20:U20"/>
    <mergeCell ref="V20:X20"/>
    <mergeCell ref="K21:O21"/>
    <mergeCell ref="P21:U21"/>
    <mergeCell ref="V21:X21"/>
    <mergeCell ref="A21:J21"/>
    <mergeCell ref="A22:J22"/>
    <mergeCell ref="K22:O22"/>
    <mergeCell ref="P22:U22"/>
    <mergeCell ref="V22:X22"/>
    <mergeCell ref="A23:J23"/>
    <mergeCell ref="K23:O23"/>
    <mergeCell ref="K25:O25"/>
    <mergeCell ref="P25:U25"/>
    <mergeCell ref="P23:U23"/>
    <mergeCell ref="V23:X23"/>
    <mergeCell ref="A24:J24"/>
    <mergeCell ref="K24:O24"/>
    <mergeCell ref="P24:U24"/>
    <mergeCell ref="V24:X24"/>
    <mergeCell ref="V25:X25"/>
    <mergeCell ref="P3:U3"/>
    <mergeCell ref="V3:X3"/>
    <mergeCell ref="A1:X1"/>
    <mergeCell ref="A2:J2"/>
    <mergeCell ref="K2:O2"/>
    <mergeCell ref="P2:U2"/>
    <mergeCell ref="V2:X2"/>
    <mergeCell ref="A3:J3"/>
    <mergeCell ref="K3:O3"/>
    <mergeCell ref="A4:J4"/>
    <mergeCell ref="K4:O4"/>
    <mergeCell ref="P4:U4"/>
    <mergeCell ref="V4:X4"/>
    <mergeCell ref="K5:O5"/>
    <mergeCell ref="P5:U5"/>
    <mergeCell ref="V5:X5"/>
    <mergeCell ref="P7:U7"/>
    <mergeCell ref="V7:X7"/>
    <mergeCell ref="A5:J5"/>
    <mergeCell ref="A6:J6"/>
    <mergeCell ref="K6:O6"/>
    <mergeCell ref="P6:U6"/>
    <mergeCell ref="V6:X6"/>
    <mergeCell ref="A7:J7"/>
    <mergeCell ref="K7:O7"/>
    <mergeCell ref="P11:U11"/>
    <mergeCell ref="V11:X11"/>
    <mergeCell ref="A25:J25"/>
    <mergeCell ref="A26:J26"/>
    <mergeCell ref="K26:O26"/>
    <mergeCell ref="P26:U26"/>
    <mergeCell ref="V26:X26"/>
    <mergeCell ref="A27:X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2025-10-30T17:19:24Z</dcterms:created>
  <dc:creator>Je Ho 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Mozilla Firefox 144.0.2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2025-10-30T00:00:00Z</vt:filetime>
  </property>
</Properties>
</file>