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is\Projects\CanadaSpends\data\ontario\boris\processed_data\"/>
    </mc:Choice>
  </mc:AlternateContent>
  <xr:revisionPtr revIDLastSave="0" documentId="13_ncr:1_{E26043AD-7C46-4461-8F87-39C06AECEA91}" xr6:coauthVersionLast="47" xr6:coauthVersionMax="47" xr10:uidLastSave="{00000000-0000-0000-0000-000000000000}"/>
  <bookViews>
    <workbookView xWindow="-120" yWindow="-120" windowWidth="29040" windowHeight="15720" activeTab="1" xr2:uid="{D67DD83F-13E2-4743-86C4-3F629EBAB8DA}"/>
  </bookViews>
  <sheets>
    <sheet name="revenue" sheetId="2" r:id="rId1"/>
    <sheet name="spending" sheetId="3" r:id="rId2"/>
    <sheet name="financial_data_raw_data" sheetId="1" r:id="rId3"/>
  </sheets>
  <definedNames>
    <definedName name="_xlnm._FilterDatabase" localSheetId="1" hidden="1">spending!$A$1:$F$1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8" i="1" l="1"/>
  <c r="B128" i="1"/>
  <c r="C127" i="1"/>
  <c r="B127" i="1"/>
  <c r="B118" i="1"/>
  <c r="B119" i="1"/>
  <c r="C119" i="1"/>
  <c r="C118" i="1"/>
  <c r="C109" i="1"/>
  <c r="B109" i="1"/>
  <c r="C108" i="1"/>
  <c r="B108" i="1"/>
  <c r="B100" i="1"/>
  <c r="C101" i="1"/>
  <c r="B101" i="1"/>
  <c r="C100" i="1"/>
  <c r="C91" i="1"/>
  <c r="B91" i="1"/>
  <c r="C90" i="1"/>
  <c r="B90" i="1"/>
  <c r="C79" i="1"/>
  <c r="B79" i="1"/>
  <c r="C78" i="1"/>
  <c r="B78" i="1"/>
  <c r="C55" i="1"/>
  <c r="B55" i="1"/>
  <c r="B33" i="1"/>
  <c r="C33" i="1"/>
  <c r="C24" i="1"/>
  <c r="B24" i="1"/>
  <c r="B25" i="1" s="1"/>
  <c r="B36" i="1" s="1"/>
  <c r="B38" i="1" s="1"/>
  <c r="C16" i="1"/>
  <c r="C25" i="1" s="1"/>
  <c r="C36" i="1" s="1"/>
  <c r="C38" i="1" s="1"/>
  <c r="XFD16" i="1"/>
  <c r="B16" i="1"/>
  <c r="C10" i="1"/>
  <c r="C56" i="1" s="1"/>
  <c r="B10" i="1"/>
  <c r="B56" i="1" s="1"/>
</calcChain>
</file>

<file path=xl/sharedStrings.xml><?xml version="1.0" encoding="utf-8"?>
<sst xmlns="http://schemas.openxmlformats.org/spreadsheetml/2006/main" count="368" uniqueCount="119">
  <si>
    <t>Personal Income Tax</t>
  </si>
  <si>
    <t>Sales Tax</t>
  </si>
  <si>
    <t>Corporations Tax</t>
  </si>
  <si>
    <t>Employer Health Tax</t>
  </si>
  <si>
    <t>Education Property Tax</t>
  </si>
  <si>
    <t>Ontario Health Premium</t>
  </si>
  <si>
    <t>Gasoline and Fuel Taxes</t>
  </si>
  <si>
    <t>Other Taxes</t>
  </si>
  <si>
    <t>Total Taxation</t>
  </si>
  <si>
    <t>Transfers from Government</t>
  </si>
  <si>
    <t>Fees, Donations and Other Revenues from Broader Public Sector Organizations</t>
  </si>
  <si>
    <t>Income from Investment in Government Business Enterprises</t>
  </si>
  <si>
    <t>Interest and Investment Income</t>
  </si>
  <si>
    <t>Schedule 1 and 2</t>
  </si>
  <si>
    <t>Schedule 10</t>
  </si>
  <si>
    <t>Other</t>
  </si>
  <si>
    <t>Total Revenue</t>
  </si>
  <si>
    <t>Health</t>
  </si>
  <si>
    <t>Education</t>
  </si>
  <si>
    <t>Children's and Social Services</t>
  </si>
  <si>
    <t>Interest and Other Debt Servicing Charges</t>
  </si>
  <si>
    <t>Postsecondary Education</t>
  </si>
  <si>
    <t>Justice</t>
  </si>
  <si>
    <t>Other Programs</t>
  </si>
  <si>
    <t>Total Expenses</t>
  </si>
  <si>
    <t>Schedule 4</t>
  </si>
  <si>
    <t>Schedule 3 + 4</t>
  </si>
  <si>
    <t>Deficit</t>
  </si>
  <si>
    <t>Acquisition of Tangible Capital Assets</t>
  </si>
  <si>
    <t>Amortization of Tangible Capital Assets</t>
  </si>
  <si>
    <t>Note 9</t>
  </si>
  <si>
    <t>Proceeds on Sale of Tangible Capital Assets</t>
  </si>
  <si>
    <t>Losses / (Gains) on Sale of Tangible Capital Assets</t>
  </si>
  <si>
    <t>Tangible Capital Assets Cost Change Relating to Revaluation of Asset Retirement Obligations</t>
  </si>
  <si>
    <t>(Increase) / Decrease in Prepaid Expenses and Other Non-financial Assets</t>
  </si>
  <si>
    <t>Total Capital Assets</t>
  </si>
  <si>
    <t>Ontario Power Generation - Contribution Deficit</t>
  </si>
  <si>
    <t>Schedule 9</t>
  </si>
  <si>
    <t>Equity Impact (IFRS Adjustment for Ontario Power Generation's Pension, Other Employee Future Benefits Liabilities and Other Costs</t>
  </si>
  <si>
    <t>Increase in Net Debt Excluding Net Remeasurement Gains / Losses</t>
  </si>
  <si>
    <t>Net Remeasurement (Losses) / Gains</t>
  </si>
  <si>
    <t>Increase in Net Debt</t>
  </si>
  <si>
    <t>Notes</t>
  </si>
  <si>
    <t>Land Transfer Tax</t>
  </si>
  <si>
    <t>Gasoline Tax</t>
  </si>
  <si>
    <t>Tobacco Tax</t>
  </si>
  <si>
    <t>Beer, Wine and Spirits Tax</t>
  </si>
  <si>
    <t>Fuel Tax</t>
  </si>
  <si>
    <t>Ontario Portion of the Federal Cannabis Excise Duty</t>
  </si>
  <si>
    <t>Electricity Payments-In-Lieu of Taxes</t>
  </si>
  <si>
    <t>Total Taxes</t>
  </si>
  <si>
    <t>Checker</t>
  </si>
  <si>
    <t>Schedule 1 - Taxation</t>
  </si>
  <si>
    <t>Schedule 1 - Transfers from Government of Canada</t>
  </si>
  <si>
    <t>Canada Health Transfer</t>
  </si>
  <si>
    <t>Canada Social Transfer</t>
  </si>
  <si>
    <t>Canada-wide Early Learning and Child Care</t>
  </si>
  <si>
    <t>Shared Health Priorities</t>
  </si>
  <si>
    <t>Infrastructure Programs</t>
  </si>
  <si>
    <t>Direct Transfer to Broader Public Sector Organizations</t>
  </si>
  <si>
    <t>Labor Market Development Agreement</t>
  </si>
  <si>
    <t>Equalization Payments</t>
  </si>
  <si>
    <t>Aging with Dignity</t>
  </si>
  <si>
    <t>Indian Welfare Services Agreement</t>
  </si>
  <si>
    <t>Workforce Development Agreement</t>
  </si>
  <si>
    <t>Early Learning and Child Care</t>
  </si>
  <si>
    <t>National Strategy for Drugs for Rare Diseases</t>
  </si>
  <si>
    <t>Social Housing</t>
  </si>
  <si>
    <t>Biligualism Development</t>
  </si>
  <si>
    <t>Legal Aid - Criminal</t>
  </si>
  <si>
    <t>Sustainable Canadian Agricultural Partnership</t>
  </si>
  <si>
    <t>Youth Criminal Justice</t>
  </si>
  <si>
    <t>Total Transfers from Government of Canada</t>
  </si>
  <si>
    <t>Schedule 1 - Other</t>
  </si>
  <si>
    <t>Sales and Rentals</t>
  </si>
  <si>
    <t>Other Fees and Licenses</t>
  </si>
  <si>
    <t>Vehicle and Driver Registration Fees</t>
  </si>
  <si>
    <t>Local Services Realignment</t>
  </si>
  <si>
    <t>Royalties</t>
  </si>
  <si>
    <t>Independent Electricity System Operator Revenue</t>
  </si>
  <si>
    <t>Power Supply Contract Recoveries</t>
  </si>
  <si>
    <t>Miscellaneous</t>
  </si>
  <si>
    <t>Total Other</t>
  </si>
  <si>
    <t>Schedule 9 -  Government Business Enterprises</t>
  </si>
  <si>
    <t>Hydro One Limited</t>
  </si>
  <si>
    <t>iGaming Ontario</t>
  </si>
  <si>
    <t>Liquor Control Board of Ontario</t>
  </si>
  <si>
    <t>Ontario Cannabis Retail Corporation</t>
  </si>
  <si>
    <t>Ontario Lottery and Gaming Corporation</t>
  </si>
  <si>
    <t>Ontario Power Generation Inc.</t>
  </si>
  <si>
    <t>Total Government Business Enterprises</t>
  </si>
  <si>
    <t>revenue</t>
  </si>
  <si>
    <t>Taxation</t>
  </si>
  <si>
    <t>Transfers from Government of Canada</t>
  </si>
  <si>
    <t xml:space="preserve">Schedule 10: Fees, Donations and Other Revenues from Broader Public Sector Organizations </t>
  </si>
  <si>
    <t>Hospitals</t>
  </si>
  <si>
    <t>School Boards</t>
  </si>
  <si>
    <t>Colleges</t>
  </si>
  <si>
    <t>Children's Aid Societies</t>
  </si>
  <si>
    <t>Total</t>
  </si>
  <si>
    <t>Schedule 1</t>
  </si>
  <si>
    <t>sankey_1</t>
  </si>
  <si>
    <t>sankey_2</t>
  </si>
  <si>
    <t>sankey_3</t>
  </si>
  <si>
    <t>Source</t>
  </si>
  <si>
    <t>Note 9 - TCA Additions</t>
  </si>
  <si>
    <t>Land</t>
  </si>
  <si>
    <t>Buildings</t>
  </si>
  <si>
    <t>Transportation Infrastructure</t>
  </si>
  <si>
    <t>Machinery and Equipment</t>
  </si>
  <si>
    <t>Information Technology</t>
  </si>
  <si>
    <t>Total TCA Additions</t>
  </si>
  <si>
    <t>Note 9 - TCA Amortization</t>
  </si>
  <si>
    <t>Total TCA Amortization</t>
  </si>
  <si>
    <t>spending</t>
  </si>
  <si>
    <t>Category</t>
  </si>
  <si>
    <t>sankey_4</t>
  </si>
  <si>
    <t>2023_24</t>
  </si>
  <si>
    <t>2024_25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</si>
</sst>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2" fillId="0" borderId="0" xfId="0" applyFont="1"/>
    <xf numFmtId="3" fontId="2" fillId="0" borderId="0" xfId="0" applyNumberFormat="1" applyFon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2E5DF-576F-4C05-8C8D-5AD2B585A362}">
  <dimension ref="A1:G53"/>
  <sheetViews>
    <sheetView workbookViewId="0">
      <selection activeCell="F1" sqref="F1"/>
    </sheetView>
  </sheetViews>
  <sheetFormatPr defaultRowHeight="15" x14ac:dyDescent="0.25"/>
  <cols>
    <col min="3" max="3" width="35.140625" bestFit="1" customWidth="1"/>
  </cols>
  <sheetData>
    <row r="1" spans="1:7" x14ac:dyDescent="0.25">
      <c r="A1" s="2" t="s">
        <v>116</v>
      </c>
      <c r="B1" s="2" t="s">
        <v>103</v>
      </c>
      <c r="C1" s="2" t="s">
        <v>102</v>
      </c>
      <c r="D1" s="2" t="s">
        <v>101</v>
      </c>
      <c r="E1" s="2">
        <v>2023</v>
      </c>
      <c r="F1" s="2">
        <v>2024</v>
      </c>
      <c r="G1" s="2" t="s">
        <v>104</v>
      </c>
    </row>
    <row r="2" spans="1:7" x14ac:dyDescent="0.25">
      <c r="B2" t="s">
        <v>0</v>
      </c>
      <c r="C2" t="s">
        <v>92</v>
      </c>
      <c r="D2" t="s">
        <v>91</v>
      </c>
      <c r="E2" s="1">
        <v>50773</v>
      </c>
      <c r="F2" s="1">
        <v>55701</v>
      </c>
      <c r="G2" t="s">
        <v>100</v>
      </c>
    </row>
    <row r="3" spans="1:7" x14ac:dyDescent="0.25">
      <c r="B3" t="s">
        <v>1</v>
      </c>
      <c r="C3" t="s">
        <v>92</v>
      </c>
      <c r="D3" t="s">
        <v>91</v>
      </c>
      <c r="E3" s="1">
        <v>39864</v>
      </c>
      <c r="F3" s="1">
        <v>39363</v>
      </c>
      <c r="G3" t="s">
        <v>100</v>
      </c>
    </row>
    <row r="4" spans="1:7" x14ac:dyDescent="0.25">
      <c r="B4" t="s">
        <v>2</v>
      </c>
      <c r="C4" t="s">
        <v>92</v>
      </c>
      <c r="D4" t="s">
        <v>91</v>
      </c>
      <c r="E4" s="1">
        <v>23094</v>
      </c>
      <c r="F4" s="1">
        <v>27757</v>
      </c>
      <c r="G4" t="s">
        <v>100</v>
      </c>
    </row>
    <row r="5" spans="1:7" x14ac:dyDescent="0.25">
      <c r="B5" t="s">
        <v>3</v>
      </c>
      <c r="C5" t="s">
        <v>92</v>
      </c>
      <c r="D5" t="s">
        <v>91</v>
      </c>
      <c r="E5" s="1">
        <v>8581</v>
      </c>
      <c r="F5" s="1">
        <v>9061</v>
      </c>
      <c r="G5" t="s">
        <v>100</v>
      </c>
    </row>
    <row r="6" spans="1:7" x14ac:dyDescent="0.25">
      <c r="B6" t="s">
        <v>4</v>
      </c>
      <c r="C6" t="s">
        <v>92</v>
      </c>
      <c r="D6" t="s">
        <v>91</v>
      </c>
      <c r="E6" s="1">
        <v>5810</v>
      </c>
      <c r="F6" s="1">
        <v>5887</v>
      </c>
      <c r="G6" t="s">
        <v>100</v>
      </c>
    </row>
    <row r="7" spans="1:7" x14ac:dyDescent="0.25">
      <c r="B7" t="s">
        <v>5</v>
      </c>
      <c r="C7" t="s">
        <v>92</v>
      </c>
      <c r="D7" t="s">
        <v>91</v>
      </c>
      <c r="E7" s="1">
        <v>5008</v>
      </c>
      <c r="F7" s="1">
        <v>5221</v>
      </c>
      <c r="G7" t="s">
        <v>100</v>
      </c>
    </row>
    <row r="8" spans="1:7" x14ac:dyDescent="0.25">
      <c r="B8" t="s">
        <v>43</v>
      </c>
      <c r="C8" t="s">
        <v>92</v>
      </c>
      <c r="D8" t="s">
        <v>91</v>
      </c>
      <c r="E8" s="1">
        <v>3538</v>
      </c>
      <c r="F8" s="1">
        <v>3736</v>
      </c>
      <c r="G8" t="s">
        <v>100</v>
      </c>
    </row>
    <row r="9" spans="1:7" x14ac:dyDescent="0.25">
      <c r="B9" t="s">
        <v>44</v>
      </c>
      <c r="C9" t="s">
        <v>92</v>
      </c>
      <c r="D9" t="s">
        <v>91</v>
      </c>
      <c r="E9" s="1">
        <v>1620</v>
      </c>
      <c r="F9" s="1">
        <v>1719</v>
      </c>
      <c r="G9" t="s">
        <v>100</v>
      </c>
    </row>
    <row r="10" spans="1:7" x14ac:dyDescent="0.25">
      <c r="B10" t="s">
        <v>45</v>
      </c>
      <c r="C10" t="s">
        <v>92</v>
      </c>
      <c r="D10" t="s">
        <v>91</v>
      </c>
      <c r="E10" s="1">
        <v>813</v>
      </c>
      <c r="F10" s="1">
        <v>693</v>
      </c>
      <c r="G10" t="s">
        <v>100</v>
      </c>
    </row>
    <row r="11" spans="1:7" x14ac:dyDescent="0.25">
      <c r="B11" t="s">
        <v>46</v>
      </c>
      <c r="C11" t="s">
        <v>92</v>
      </c>
      <c r="D11" t="s">
        <v>91</v>
      </c>
      <c r="E11" s="1">
        <v>593</v>
      </c>
      <c r="F11" s="1">
        <v>530</v>
      </c>
      <c r="G11" t="s">
        <v>100</v>
      </c>
    </row>
    <row r="12" spans="1:7" x14ac:dyDescent="0.25">
      <c r="B12" t="s">
        <v>47</v>
      </c>
      <c r="C12" t="s">
        <v>92</v>
      </c>
      <c r="D12" t="s">
        <v>91</v>
      </c>
      <c r="E12" s="1">
        <v>517</v>
      </c>
      <c r="F12" s="1">
        <v>514</v>
      </c>
      <c r="G12" t="s">
        <v>100</v>
      </c>
    </row>
    <row r="13" spans="1:7" x14ac:dyDescent="0.25">
      <c r="B13" t="s">
        <v>48</v>
      </c>
      <c r="C13" t="s">
        <v>92</v>
      </c>
      <c r="D13" t="s">
        <v>91</v>
      </c>
      <c r="E13" s="1">
        <v>346</v>
      </c>
      <c r="F13" s="1">
        <v>390</v>
      </c>
      <c r="G13" t="s">
        <v>100</v>
      </c>
    </row>
    <row r="14" spans="1:7" x14ac:dyDescent="0.25">
      <c r="B14" t="s">
        <v>49</v>
      </c>
      <c r="C14" t="s">
        <v>92</v>
      </c>
      <c r="D14" t="s">
        <v>91</v>
      </c>
      <c r="E14" s="1">
        <v>529</v>
      </c>
      <c r="F14" s="1">
        <v>54</v>
      </c>
      <c r="G14" t="s">
        <v>100</v>
      </c>
    </row>
    <row r="15" spans="1:7" x14ac:dyDescent="0.25">
      <c r="B15" t="s">
        <v>7</v>
      </c>
      <c r="C15" t="s">
        <v>92</v>
      </c>
      <c r="D15" t="s">
        <v>91</v>
      </c>
      <c r="E15" s="1">
        <v>728</v>
      </c>
      <c r="F15" s="1">
        <v>891</v>
      </c>
      <c r="G15" t="s">
        <v>100</v>
      </c>
    </row>
    <row r="16" spans="1:7" x14ac:dyDescent="0.25">
      <c r="B16" t="s">
        <v>54</v>
      </c>
      <c r="C16" t="s">
        <v>93</v>
      </c>
      <c r="D16" t="s">
        <v>91</v>
      </c>
      <c r="E16" s="1">
        <v>19286</v>
      </c>
      <c r="F16" s="1">
        <v>20363</v>
      </c>
      <c r="G16" t="s">
        <v>100</v>
      </c>
    </row>
    <row r="17" spans="2:7" x14ac:dyDescent="0.25">
      <c r="B17" t="s">
        <v>55</v>
      </c>
      <c r="C17" t="s">
        <v>93</v>
      </c>
      <c r="D17" t="s">
        <v>91</v>
      </c>
      <c r="E17" s="1">
        <v>6407</v>
      </c>
      <c r="F17" s="1">
        <v>6611</v>
      </c>
      <c r="G17" t="s">
        <v>100</v>
      </c>
    </row>
    <row r="18" spans="2:7" x14ac:dyDescent="0.25">
      <c r="B18" t="s">
        <v>56</v>
      </c>
      <c r="C18" t="s">
        <v>93</v>
      </c>
      <c r="D18" t="s">
        <v>91</v>
      </c>
      <c r="E18" s="1">
        <v>2031</v>
      </c>
      <c r="F18" s="1">
        <v>2800</v>
      </c>
      <c r="G18" t="s">
        <v>100</v>
      </c>
    </row>
    <row r="19" spans="2:7" x14ac:dyDescent="0.25">
      <c r="B19" t="s">
        <v>57</v>
      </c>
      <c r="C19" t="s">
        <v>93</v>
      </c>
      <c r="D19" t="s">
        <v>91</v>
      </c>
      <c r="E19" s="1">
        <v>935</v>
      </c>
      <c r="F19" s="1">
        <v>1204</v>
      </c>
      <c r="G19" t="s">
        <v>100</v>
      </c>
    </row>
    <row r="20" spans="2:7" x14ac:dyDescent="0.25">
      <c r="B20" t="s">
        <v>58</v>
      </c>
      <c r="C20" t="s">
        <v>93</v>
      </c>
      <c r="D20" t="s">
        <v>91</v>
      </c>
      <c r="E20" s="1">
        <v>609</v>
      </c>
      <c r="F20" s="1">
        <v>1124</v>
      </c>
      <c r="G20" t="s">
        <v>100</v>
      </c>
    </row>
    <row r="21" spans="2:7" x14ac:dyDescent="0.25">
      <c r="B21" t="s">
        <v>59</v>
      </c>
      <c r="C21" t="s">
        <v>93</v>
      </c>
      <c r="D21" t="s">
        <v>91</v>
      </c>
      <c r="E21" s="1">
        <v>625</v>
      </c>
      <c r="F21" s="1">
        <v>691</v>
      </c>
      <c r="G21" t="s">
        <v>100</v>
      </c>
    </row>
    <row r="22" spans="2:7" x14ac:dyDescent="0.25">
      <c r="B22" t="s">
        <v>60</v>
      </c>
      <c r="C22" t="s">
        <v>93</v>
      </c>
      <c r="D22" t="s">
        <v>91</v>
      </c>
      <c r="E22" s="1">
        <v>792</v>
      </c>
      <c r="F22" s="1">
        <v>641</v>
      </c>
      <c r="G22" t="s">
        <v>100</v>
      </c>
    </row>
    <row r="23" spans="2:7" x14ac:dyDescent="0.25">
      <c r="B23" t="s">
        <v>61</v>
      </c>
      <c r="C23" t="s">
        <v>93</v>
      </c>
      <c r="D23" t="s">
        <v>91</v>
      </c>
      <c r="E23" s="1">
        <v>421</v>
      </c>
      <c r="F23" s="1">
        <v>576</v>
      </c>
      <c r="G23" t="s">
        <v>100</v>
      </c>
    </row>
    <row r="24" spans="2:7" x14ac:dyDescent="0.25">
      <c r="B24" t="s">
        <v>62</v>
      </c>
      <c r="C24" t="s">
        <v>93</v>
      </c>
      <c r="D24" t="s">
        <v>91</v>
      </c>
      <c r="E24" s="1">
        <v>462</v>
      </c>
      <c r="F24" s="1">
        <v>464</v>
      </c>
      <c r="G24" t="s">
        <v>100</v>
      </c>
    </row>
    <row r="25" spans="2:7" x14ac:dyDescent="0.25">
      <c r="B25" t="s">
        <v>63</v>
      </c>
      <c r="C25" t="s">
        <v>93</v>
      </c>
      <c r="D25" t="s">
        <v>91</v>
      </c>
      <c r="E25" s="1">
        <v>332</v>
      </c>
      <c r="F25" s="1">
        <v>338</v>
      </c>
      <c r="G25" t="s">
        <v>100</v>
      </c>
    </row>
    <row r="26" spans="2:7" x14ac:dyDescent="0.25">
      <c r="B26" t="s">
        <v>64</v>
      </c>
      <c r="C26" t="s">
        <v>93</v>
      </c>
      <c r="D26" t="s">
        <v>91</v>
      </c>
      <c r="E26" s="1">
        <v>357</v>
      </c>
      <c r="F26" s="1">
        <v>280</v>
      </c>
      <c r="G26" t="s">
        <v>100</v>
      </c>
    </row>
    <row r="27" spans="2:7" x14ac:dyDescent="0.25">
      <c r="B27" t="s">
        <v>65</v>
      </c>
      <c r="C27" t="s">
        <v>93</v>
      </c>
      <c r="D27" t="s">
        <v>91</v>
      </c>
      <c r="E27" s="1">
        <v>208</v>
      </c>
      <c r="F27" s="1">
        <v>210</v>
      </c>
      <c r="G27" t="s">
        <v>100</v>
      </c>
    </row>
    <row r="28" spans="2:7" x14ac:dyDescent="0.25">
      <c r="B28" t="s">
        <v>66</v>
      </c>
      <c r="C28" t="s">
        <v>93</v>
      </c>
      <c r="D28" t="s">
        <v>91</v>
      </c>
      <c r="E28" s="1">
        <v>0</v>
      </c>
      <c r="F28" s="1">
        <v>178</v>
      </c>
      <c r="G28" t="s">
        <v>100</v>
      </c>
    </row>
    <row r="29" spans="2:7" x14ac:dyDescent="0.25">
      <c r="B29" t="s">
        <v>67</v>
      </c>
      <c r="C29" t="s">
        <v>93</v>
      </c>
      <c r="D29" t="s">
        <v>91</v>
      </c>
      <c r="E29" s="1">
        <v>218</v>
      </c>
      <c r="F29" s="1">
        <v>173</v>
      </c>
      <c r="G29" t="s">
        <v>100</v>
      </c>
    </row>
    <row r="30" spans="2:7" x14ac:dyDescent="0.25">
      <c r="B30" t="s">
        <v>68</v>
      </c>
      <c r="C30" t="s">
        <v>93</v>
      </c>
      <c r="D30" t="s">
        <v>91</v>
      </c>
      <c r="E30" s="1">
        <v>187</v>
      </c>
      <c r="F30" s="1">
        <v>151</v>
      </c>
      <c r="G30" t="s">
        <v>100</v>
      </c>
    </row>
    <row r="31" spans="2:7" x14ac:dyDescent="0.25">
      <c r="B31" t="s">
        <v>69</v>
      </c>
      <c r="C31" t="s">
        <v>93</v>
      </c>
      <c r="D31" t="s">
        <v>91</v>
      </c>
      <c r="E31" s="1">
        <v>71</v>
      </c>
      <c r="F31" s="1">
        <v>77</v>
      </c>
      <c r="G31" t="s">
        <v>100</v>
      </c>
    </row>
    <row r="32" spans="2:7" x14ac:dyDescent="0.25">
      <c r="B32" t="s">
        <v>70</v>
      </c>
      <c r="C32" t="s">
        <v>93</v>
      </c>
      <c r="D32" t="s">
        <v>91</v>
      </c>
      <c r="E32" s="1">
        <v>44</v>
      </c>
      <c r="F32" s="1">
        <v>69</v>
      </c>
      <c r="G32" t="s">
        <v>100</v>
      </c>
    </row>
    <row r="33" spans="2:7" x14ac:dyDescent="0.25">
      <c r="B33" t="s">
        <v>71</v>
      </c>
      <c r="C33" t="s">
        <v>93</v>
      </c>
      <c r="D33" t="s">
        <v>91</v>
      </c>
      <c r="E33" s="1">
        <v>67</v>
      </c>
      <c r="F33" s="1">
        <v>68</v>
      </c>
      <c r="G33" t="s">
        <v>100</v>
      </c>
    </row>
    <row r="34" spans="2:7" x14ac:dyDescent="0.25">
      <c r="B34" t="s">
        <v>15</v>
      </c>
      <c r="C34" t="s">
        <v>93</v>
      </c>
      <c r="D34" t="s">
        <v>91</v>
      </c>
      <c r="E34" s="1">
        <v>1284</v>
      </c>
      <c r="F34" s="1">
        <v>615</v>
      </c>
      <c r="G34" t="s">
        <v>100</v>
      </c>
    </row>
    <row r="35" spans="2:7" x14ac:dyDescent="0.25">
      <c r="B35" t="s">
        <v>95</v>
      </c>
      <c r="C35" t="s">
        <v>10</v>
      </c>
      <c r="D35" t="s">
        <v>91</v>
      </c>
      <c r="E35" s="1">
        <v>4713</v>
      </c>
      <c r="F35" s="1">
        <v>6525</v>
      </c>
      <c r="G35" t="s">
        <v>14</v>
      </c>
    </row>
    <row r="36" spans="2:7" x14ac:dyDescent="0.25">
      <c r="B36" t="s">
        <v>96</v>
      </c>
      <c r="C36" t="s">
        <v>10</v>
      </c>
      <c r="D36" t="s">
        <v>91</v>
      </c>
      <c r="E36" s="1">
        <v>1568</v>
      </c>
      <c r="F36" s="1">
        <v>1784</v>
      </c>
      <c r="G36" t="s">
        <v>14</v>
      </c>
    </row>
    <row r="37" spans="2:7" x14ac:dyDescent="0.25">
      <c r="B37" t="s">
        <v>97</v>
      </c>
      <c r="C37" t="s">
        <v>10</v>
      </c>
      <c r="D37" t="s">
        <v>91</v>
      </c>
      <c r="E37" s="1">
        <v>6718</v>
      </c>
      <c r="F37" s="1">
        <v>6324</v>
      </c>
      <c r="G37" t="s">
        <v>14</v>
      </c>
    </row>
    <row r="38" spans="2:7" x14ac:dyDescent="0.25">
      <c r="B38" t="s">
        <v>98</v>
      </c>
      <c r="C38" t="s">
        <v>10</v>
      </c>
      <c r="D38" t="s">
        <v>91</v>
      </c>
      <c r="E38" s="1">
        <v>72</v>
      </c>
      <c r="F38" s="1">
        <v>77</v>
      </c>
      <c r="G38" t="s">
        <v>14</v>
      </c>
    </row>
    <row r="39" spans="2:7" x14ac:dyDescent="0.25">
      <c r="B39" t="s">
        <v>84</v>
      </c>
      <c r="C39" t="s">
        <v>11</v>
      </c>
      <c r="D39" t="s">
        <v>91</v>
      </c>
      <c r="E39" s="1">
        <v>501</v>
      </c>
      <c r="F39" s="1">
        <v>571</v>
      </c>
      <c r="G39" t="s">
        <v>37</v>
      </c>
    </row>
    <row r="40" spans="2:7" x14ac:dyDescent="0.25">
      <c r="B40" t="s">
        <v>85</v>
      </c>
      <c r="C40" t="s">
        <v>11</v>
      </c>
      <c r="D40" t="s">
        <v>91</v>
      </c>
      <c r="E40" s="1">
        <v>176</v>
      </c>
      <c r="F40" s="1">
        <v>219</v>
      </c>
      <c r="G40" t="s">
        <v>37</v>
      </c>
    </row>
    <row r="41" spans="2:7" x14ac:dyDescent="0.25">
      <c r="B41" t="s">
        <v>86</v>
      </c>
      <c r="C41" t="s">
        <v>11</v>
      </c>
      <c r="D41" t="s">
        <v>91</v>
      </c>
      <c r="E41" s="1">
        <v>2574</v>
      </c>
      <c r="F41" s="1">
        <v>2171</v>
      </c>
      <c r="G41" t="s">
        <v>37</v>
      </c>
    </row>
    <row r="42" spans="2:7" x14ac:dyDescent="0.25">
      <c r="B42" t="s">
        <v>87</v>
      </c>
      <c r="C42" t="s">
        <v>11</v>
      </c>
      <c r="D42" t="s">
        <v>91</v>
      </c>
      <c r="E42" s="1">
        <v>244</v>
      </c>
      <c r="F42" s="1">
        <v>247</v>
      </c>
      <c r="G42" t="s">
        <v>37</v>
      </c>
    </row>
    <row r="43" spans="2:7" x14ac:dyDescent="0.25">
      <c r="B43" t="s">
        <v>88</v>
      </c>
      <c r="C43" t="s">
        <v>11</v>
      </c>
      <c r="D43" t="s">
        <v>91</v>
      </c>
      <c r="E43" s="1">
        <v>2368</v>
      </c>
      <c r="F43" s="1">
        <v>2247</v>
      </c>
      <c r="G43" t="s">
        <v>37</v>
      </c>
    </row>
    <row r="44" spans="2:7" x14ac:dyDescent="0.25">
      <c r="B44" t="s">
        <v>89</v>
      </c>
      <c r="C44" t="s">
        <v>11</v>
      </c>
      <c r="D44" t="s">
        <v>91</v>
      </c>
      <c r="E44" s="1">
        <v>1564</v>
      </c>
      <c r="F44" s="1">
        <v>2010</v>
      </c>
      <c r="G44" t="s">
        <v>37</v>
      </c>
    </row>
    <row r="45" spans="2:7" x14ac:dyDescent="0.25">
      <c r="B45" t="s">
        <v>74</v>
      </c>
      <c r="C45" t="s">
        <v>15</v>
      </c>
      <c r="D45" t="s">
        <v>91</v>
      </c>
      <c r="E45" s="1">
        <v>1566</v>
      </c>
      <c r="F45" s="1">
        <v>1630</v>
      </c>
      <c r="G45" t="s">
        <v>100</v>
      </c>
    </row>
    <row r="46" spans="2:7" x14ac:dyDescent="0.25">
      <c r="B46" t="s">
        <v>75</v>
      </c>
      <c r="C46" t="s">
        <v>15</v>
      </c>
      <c r="D46" t="s">
        <v>91</v>
      </c>
      <c r="E46" s="1">
        <v>1370</v>
      </c>
      <c r="F46" s="1">
        <v>1601</v>
      </c>
      <c r="G46" t="s">
        <v>100</v>
      </c>
    </row>
    <row r="47" spans="2:7" x14ac:dyDescent="0.25">
      <c r="B47" t="s">
        <v>76</v>
      </c>
      <c r="C47" t="s">
        <v>15</v>
      </c>
      <c r="D47" t="s">
        <v>91</v>
      </c>
      <c r="E47" s="1">
        <v>1222</v>
      </c>
      <c r="F47" s="1">
        <v>1232</v>
      </c>
      <c r="G47" t="s">
        <v>100</v>
      </c>
    </row>
    <row r="48" spans="2:7" x14ac:dyDescent="0.25">
      <c r="B48" t="s">
        <v>77</v>
      </c>
      <c r="C48" t="s">
        <v>15</v>
      </c>
      <c r="D48" t="s">
        <v>91</v>
      </c>
      <c r="E48" s="1">
        <v>138</v>
      </c>
      <c r="F48" s="1">
        <v>436</v>
      </c>
      <c r="G48" t="s">
        <v>100</v>
      </c>
    </row>
    <row r="49" spans="2:7" x14ac:dyDescent="0.25">
      <c r="B49" t="s">
        <v>78</v>
      </c>
      <c r="C49" t="s">
        <v>15</v>
      </c>
      <c r="D49" t="s">
        <v>91</v>
      </c>
      <c r="E49" s="1">
        <v>319</v>
      </c>
      <c r="F49" s="1">
        <v>297</v>
      </c>
      <c r="G49" t="s">
        <v>100</v>
      </c>
    </row>
    <row r="50" spans="2:7" x14ac:dyDescent="0.25">
      <c r="B50" t="s">
        <v>79</v>
      </c>
      <c r="C50" t="s">
        <v>15</v>
      </c>
      <c r="D50" t="s">
        <v>91</v>
      </c>
      <c r="E50" s="1">
        <v>248</v>
      </c>
      <c r="F50" s="1">
        <v>261</v>
      </c>
      <c r="G50" t="s">
        <v>100</v>
      </c>
    </row>
    <row r="51" spans="2:7" x14ac:dyDescent="0.25">
      <c r="B51" t="s">
        <v>80</v>
      </c>
      <c r="C51" t="s">
        <v>15</v>
      </c>
      <c r="D51" t="s">
        <v>91</v>
      </c>
      <c r="E51" s="1">
        <v>41</v>
      </c>
      <c r="F51" s="1">
        <v>40</v>
      </c>
      <c r="G51" t="s">
        <v>100</v>
      </c>
    </row>
    <row r="52" spans="2:7" x14ac:dyDescent="0.25">
      <c r="B52" t="s">
        <v>81</v>
      </c>
      <c r="C52" t="s">
        <v>15</v>
      </c>
      <c r="D52" t="s">
        <v>91</v>
      </c>
      <c r="E52" s="1">
        <v>4338</v>
      </c>
      <c r="F52" s="1">
        <v>7553</v>
      </c>
      <c r="G52" t="s">
        <v>100</v>
      </c>
    </row>
    <row r="53" spans="2:7" x14ac:dyDescent="0.25">
      <c r="C53" t="s">
        <v>12</v>
      </c>
      <c r="D53" t="s">
        <v>91</v>
      </c>
      <c r="E53" s="1">
        <v>3085</v>
      </c>
      <c r="F53" s="1">
        <v>2786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4E36B-8C9E-461E-9419-97F23C9B942E}">
  <dimension ref="A1:F10"/>
  <sheetViews>
    <sheetView tabSelected="1" workbookViewId="0">
      <selection activeCell="C1" sqref="C1"/>
    </sheetView>
  </sheetViews>
  <sheetFormatPr defaultRowHeight="15" x14ac:dyDescent="0.25"/>
  <cols>
    <col min="3" max="3" width="38" bestFit="1" customWidth="1"/>
    <col min="4" max="4" width="38" customWidth="1"/>
    <col min="8" max="8" width="12" bestFit="1" customWidth="1"/>
  </cols>
  <sheetData>
    <row r="1" spans="1:6" x14ac:dyDescent="0.25">
      <c r="A1" s="2" t="s">
        <v>116</v>
      </c>
      <c r="B1" s="2" t="s">
        <v>103</v>
      </c>
      <c r="C1" s="2" t="s">
        <v>102</v>
      </c>
      <c r="D1" s="2" t="s">
        <v>101</v>
      </c>
      <c r="E1" s="2" t="s">
        <v>117</v>
      </c>
      <c r="F1" s="2" t="s">
        <v>118</v>
      </c>
    </row>
    <row r="2" spans="1:6" x14ac:dyDescent="0.25">
      <c r="C2" t="s">
        <v>17</v>
      </c>
      <c r="D2" t="s">
        <v>114</v>
      </c>
      <c r="E2" s="1">
        <v>85458</v>
      </c>
      <c r="F2" s="1">
        <v>91631</v>
      </c>
    </row>
    <row r="3" spans="1:6" x14ac:dyDescent="0.25">
      <c r="C3" t="s">
        <v>18</v>
      </c>
      <c r="D3" t="s">
        <v>114</v>
      </c>
      <c r="E3" s="1">
        <v>38810</v>
      </c>
      <c r="F3" s="1">
        <v>40059</v>
      </c>
    </row>
    <row r="4" spans="1:6" x14ac:dyDescent="0.25">
      <c r="C4" t="s">
        <v>19</v>
      </c>
      <c r="D4" t="s">
        <v>114</v>
      </c>
      <c r="E4" s="1">
        <v>19412</v>
      </c>
      <c r="F4" s="1">
        <v>20736</v>
      </c>
    </row>
    <row r="5" spans="1:6" x14ac:dyDescent="0.25">
      <c r="C5" t="s">
        <v>20</v>
      </c>
      <c r="D5" t="s">
        <v>114</v>
      </c>
      <c r="E5" s="1">
        <v>14461</v>
      </c>
      <c r="F5" s="1">
        <v>15122</v>
      </c>
    </row>
    <row r="6" spans="1:6" x14ac:dyDescent="0.25">
      <c r="C6" t="s">
        <v>21</v>
      </c>
      <c r="D6" t="s">
        <v>114</v>
      </c>
      <c r="E6" s="1">
        <v>13235</v>
      </c>
      <c r="F6" s="1">
        <v>14146</v>
      </c>
    </row>
    <row r="7" spans="1:6" x14ac:dyDescent="0.25">
      <c r="C7" t="s">
        <v>22</v>
      </c>
      <c r="D7" t="s">
        <v>114</v>
      </c>
      <c r="E7" s="1">
        <v>6037</v>
      </c>
      <c r="F7" s="1">
        <v>7224</v>
      </c>
    </row>
    <row r="8" spans="1:6" x14ac:dyDescent="0.25">
      <c r="C8" t="s">
        <v>23</v>
      </c>
      <c r="D8" t="s">
        <v>114</v>
      </c>
      <c r="E8" s="1">
        <v>32255</v>
      </c>
      <c r="F8" s="1">
        <v>38333</v>
      </c>
    </row>
    <row r="9" spans="1:6" x14ac:dyDescent="0.25">
      <c r="C9" s="2"/>
      <c r="D9" s="2"/>
      <c r="E9" s="3"/>
      <c r="F9" s="3"/>
    </row>
    <row r="10" spans="1:6" x14ac:dyDescent="0.25">
      <c r="E10" s="1"/>
      <c r="F10" s="1"/>
    </row>
  </sheetData>
  <autoFilter ref="A1:F1" xr:uid="{C714E36B-8C9E-461E-9419-97F23C9B942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CB171-4B6D-47CE-B288-5BE787A91EA9}">
  <dimension ref="A1:XFD128"/>
  <sheetViews>
    <sheetView topLeftCell="A16" workbookViewId="0">
      <selection activeCell="A23" sqref="A23"/>
    </sheetView>
  </sheetViews>
  <sheetFormatPr defaultRowHeight="15" x14ac:dyDescent="0.25"/>
  <cols>
    <col min="1" max="1" width="71.85546875" bestFit="1" customWidth="1"/>
    <col min="2" max="3" width="10.140625" bestFit="1" customWidth="1"/>
    <col min="4" max="4" width="15.85546875" bestFit="1" customWidth="1"/>
  </cols>
  <sheetData>
    <row r="1" spans="1:4 16384:16384" x14ac:dyDescent="0.25">
      <c r="A1" s="2" t="s">
        <v>115</v>
      </c>
      <c r="B1" s="2">
        <v>2023</v>
      </c>
      <c r="C1" s="2">
        <v>2024</v>
      </c>
    </row>
    <row r="2" spans="1:4 16384:16384" x14ac:dyDescent="0.25">
      <c r="A2" t="s">
        <v>0</v>
      </c>
      <c r="B2" s="1">
        <v>50773</v>
      </c>
      <c r="C2" s="1">
        <v>55701</v>
      </c>
      <c r="D2" t="s">
        <v>13</v>
      </c>
    </row>
    <row r="3" spans="1:4 16384:16384" x14ac:dyDescent="0.25">
      <c r="A3" t="s">
        <v>1</v>
      </c>
      <c r="B3" s="1">
        <v>39864</v>
      </c>
      <c r="C3" s="1">
        <v>39363</v>
      </c>
      <c r="D3" t="s">
        <v>13</v>
      </c>
    </row>
    <row r="4" spans="1:4 16384:16384" x14ac:dyDescent="0.25">
      <c r="A4" t="s">
        <v>2</v>
      </c>
      <c r="B4" s="1">
        <v>23094</v>
      </c>
      <c r="C4" s="1">
        <v>27757</v>
      </c>
      <c r="D4" t="s">
        <v>13</v>
      </c>
    </row>
    <row r="5" spans="1:4 16384:16384" x14ac:dyDescent="0.25">
      <c r="A5" t="s">
        <v>3</v>
      </c>
      <c r="B5" s="1">
        <v>8581</v>
      </c>
      <c r="C5" s="1">
        <v>9061</v>
      </c>
      <c r="D5" t="s">
        <v>13</v>
      </c>
    </row>
    <row r="6" spans="1:4 16384:16384" x14ac:dyDescent="0.25">
      <c r="A6" t="s">
        <v>4</v>
      </c>
      <c r="B6" s="1">
        <v>5810</v>
      </c>
      <c r="C6" s="1">
        <v>5887</v>
      </c>
      <c r="D6" t="s">
        <v>13</v>
      </c>
    </row>
    <row r="7" spans="1:4 16384:16384" x14ac:dyDescent="0.25">
      <c r="A7" t="s">
        <v>5</v>
      </c>
      <c r="B7" s="1">
        <v>5008</v>
      </c>
      <c r="C7" s="1">
        <v>5221</v>
      </c>
      <c r="D7" t="s">
        <v>13</v>
      </c>
    </row>
    <row r="8" spans="1:4 16384:16384" x14ac:dyDescent="0.25">
      <c r="A8" t="s">
        <v>6</v>
      </c>
      <c r="B8" s="1">
        <v>2137</v>
      </c>
      <c r="C8" s="1">
        <v>2233</v>
      </c>
      <c r="D8" t="s">
        <v>13</v>
      </c>
    </row>
    <row r="9" spans="1:4 16384:16384" x14ac:dyDescent="0.25">
      <c r="A9" t="s">
        <v>7</v>
      </c>
      <c r="B9" s="1">
        <v>6547</v>
      </c>
      <c r="C9" s="1">
        <v>6294</v>
      </c>
      <c r="D9" t="s">
        <v>13</v>
      </c>
    </row>
    <row r="10" spans="1:4 16384:16384" x14ac:dyDescent="0.25">
      <c r="A10" s="2" t="s">
        <v>8</v>
      </c>
      <c r="B10" s="3">
        <f>SUM(B2:B9)</f>
        <v>141814</v>
      </c>
      <c r="C10" s="3">
        <f>SUM(C2:C9)</f>
        <v>151517</v>
      </c>
      <c r="D10" t="s">
        <v>42</v>
      </c>
    </row>
    <row r="11" spans="1:4 16384:16384" x14ac:dyDescent="0.25">
      <c r="A11" t="s">
        <v>9</v>
      </c>
      <c r="B11" s="1">
        <v>34336</v>
      </c>
      <c r="C11" s="1">
        <v>36633</v>
      </c>
    </row>
    <row r="12" spans="1:4 16384:16384" x14ac:dyDescent="0.25">
      <c r="A12" t="s">
        <v>10</v>
      </c>
      <c r="B12" s="1">
        <v>13071</v>
      </c>
      <c r="C12" s="1">
        <v>14710</v>
      </c>
      <c r="D12" t="s">
        <v>14</v>
      </c>
    </row>
    <row r="13" spans="1:4 16384:16384" x14ac:dyDescent="0.25">
      <c r="A13" t="s">
        <v>11</v>
      </c>
      <c r="B13" s="1">
        <v>7427</v>
      </c>
      <c r="C13" s="1">
        <v>7465</v>
      </c>
      <c r="D13" t="s">
        <v>37</v>
      </c>
    </row>
    <row r="14" spans="1:4 16384:16384" x14ac:dyDescent="0.25">
      <c r="A14" t="s">
        <v>12</v>
      </c>
      <c r="B14" s="1">
        <v>3085</v>
      </c>
      <c r="C14" s="1">
        <v>2786</v>
      </c>
    </row>
    <row r="15" spans="1:4 16384:16384" x14ac:dyDescent="0.25">
      <c r="A15" t="s">
        <v>15</v>
      </c>
      <c r="B15" s="1">
        <v>9242</v>
      </c>
      <c r="C15" s="1">
        <v>13050</v>
      </c>
      <c r="D15" t="s">
        <v>100</v>
      </c>
    </row>
    <row r="16" spans="1:4 16384:16384" x14ac:dyDescent="0.25">
      <c r="A16" s="2" t="s">
        <v>16</v>
      </c>
      <c r="B16" s="3">
        <f>SUM(B10:B15)</f>
        <v>208975</v>
      </c>
      <c r="C16" s="3">
        <f>SUM(C10:C15)</f>
        <v>226161</v>
      </c>
      <c r="XFD16" s="1">
        <f>SUM(XFD10:XFD15)</f>
        <v>0</v>
      </c>
    </row>
    <row r="17" spans="1:4" x14ac:dyDescent="0.25">
      <c r="A17" t="s">
        <v>17</v>
      </c>
      <c r="B17" s="1">
        <v>85458</v>
      </c>
      <c r="C17" s="1">
        <v>91631</v>
      </c>
    </row>
    <row r="18" spans="1:4" x14ac:dyDescent="0.25">
      <c r="A18" t="s">
        <v>18</v>
      </c>
      <c r="B18" s="1">
        <v>38810</v>
      </c>
      <c r="C18" s="1">
        <v>40059</v>
      </c>
      <c r="D18" t="s">
        <v>25</v>
      </c>
    </row>
    <row r="19" spans="1:4" x14ac:dyDescent="0.25">
      <c r="A19" t="s">
        <v>19</v>
      </c>
      <c r="B19" s="1">
        <v>19412</v>
      </c>
      <c r="C19" s="1">
        <v>20736</v>
      </c>
    </row>
    <row r="20" spans="1:4" x14ac:dyDescent="0.25">
      <c r="A20" t="s">
        <v>20</v>
      </c>
      <c r="B20" s="1">
        <v>14461</v>
      </c>
      <c r="C20" s="1">
        <v>15122</v>
      </c>
    </row>
    <row r="21" spans="1:4" x14ac:dyDescent="0.25">
      <c r="A21" t="s">
        <v>21</v>
      </c>
      <c r="B21" s="1">
        <v>13235</v>
      </c>
      <c r="C21" s="1">
        <v>14146</v>
      </c>
    </row>
    <row r="22" spans="1:4" x14ac:dyDescent="0.25">
      <c r="A22" t="s">
        <v>22</v>
      </c>
      <c r="B22" s="1">
        <v>6037</v>
      </c>
      <c r="C22" s="1">
        <v>7224</v>
      </c>
    </row>
    <row r="23" spans="1:4" x14ac:dyDescent="0.25">
      <c r="A23" t="s">
        <v>23</v>
      </c>
      <c r="B23" s="1">
        <v>32255</v>
      </c>
      <c r="C23" s="1">
        <v>38333</v>
      </c>
    </row>
    <row r="24" spans="1:4" x14ac:dyDescent="0.25">
      <c r="A24" s="2" t="s">
        <v>24</v>
      </c>
      <c r="B24" s="3">
        <f>SUM(B17:B23)</f>
        <v>209668</v>
      </c>
      <c r="C24" s="3">
        <f>SUM(C17:C23)</f>
        <v>227251</v>
      </c>
      <c r="D24" t="s">
        <v>26</v>
      </c>
    </row>
    <row r="25" spans="1:4" x14ac:dyDescent="0.25">
      <c r="A25" t="s">
        <v>27</v>
      </c>
      <c r="B25" s="1">
        <f>B16-B24</f>
        <v>-693</v>
      </c>
      <c r="C25" s="1">
        <f>C16-C24</f>
        <v>-1090</v>
      </c>
    </row>
    <row r="27" spans="1:4" x14ac:dyDescent="0.25">
      <c r="A27" t="s">
        <v>28</v>
      </c>
      <c r="B27" s="1">
        <v>-18713</v>
      </c>
      <c r="C27" s="1">
        <v>-24545</v>
      </c>
    </row>
    <row r="28" spans="1:4" x14ac:dyDescent="0.25">
      <c r="A28" t="s">
        <v>29</v>
      </c>
      <c r="B28" s="1">
        <v>7969</v>
      </c>
      <c r="C28" s="1">
        <v>8347</v>
      </c>
      <c r="D28" t="s">
        <v>30</v>
      </c>
    </row>
    <row r="29" spans="1:4" x14ac:dyDescent="0.25">
      <c r="A29" t="s">
        <v>31</v>
      </c>
      <c r="B29" s="1">
        <v>301</v>
      </c>
      <c r="C29" s="1">
        <v>138</v>
      </c>
    </row>
    <row r="30" spans="1:4" x14ac:dyDescent="0.25">
      <c r="A30" t="s">
        <v>32</v>
      </c>
      <c r="B30" s="1">
        <v>-231</v>
      </c>
      <c r="C30" s="1">
        <v>20</v>
      </c>
    </row>
    <row r="31" spans="1:4" x14ac:dyDescent="0.25">
      <c r="A31" t="s">
        <v>33</v>
      </c>
      <c r="B31" s="1">
        <v>-440</v>
      </c>
      <c r="C31" s="1">
        <v>-95</v>
      </c>
      <c r="D31" t="s">
        <v>30</v>
      </c>
    </row>
    <row r="32" spans="1:4" x14ac:dyDescent="0.25">
      <c r="A32" t="s">
        <v>34</v>
      </c>
      <c r="B32" s="1">
        <v>1253</v>
      </c>
      <c r="C32" s="1">
        <v>-195</v>
      </c>
    </row>
    <row r="33" spans="1:4" x14ac:dyDescent="0.25">
      <c r="A33" s="2" t="s">
        <v>35</v>
      </c>
      <c r="B33" s="3">
        <f>SUM(B27:B32)</f>
        <v>-9861</v>
      </c>
      <c r="C33" s="3">
        <f>SUM(C27:C32)</f>
        <v>-16330</v>
      </c>
    </row>
    <row r="34" spans="1:4" x14ac:dyDescent="0.25">
      <c r="A34" t="s">
        <v>36</v>
      </c>
      <c r="B34" s="1">
        <v>-2</v>
      </c>
      <c r="C34" s="1">
        <v>-2</v>
      </c>
      <c r="D34" t="s">
        <v>37</v>
      </c>
    </row>
    <row r="35" spans="1:4" x14ac:dyDescent="0.25">
      <c r="A35" t="s">
        <v>38</v>
      </c>
      <c r="B35" s="1">
        <v>271</v>
      </c>
      <c r="C35" s="1">
        <v>348</v>
      </c>
      <c r="D35" t="s">
        <v>37</v>
      </c>
    </row>
    <row r="36" spans="1:4" x14ac:dyDescent="0.25">
      <c r="A36" s="2" t="s">
        <v>39</v>
      </c>
      <c r="B36" s="3">
        <f>B25+B33+B34+B35</f>
        <v>-10285</v>
      </c>
      <c r="C36" s="3">
        <f>C25+C33+C34+C35</f>
        <v>-17074</v>
      </c>
    </row>
    <row r="37" spans="1:4" x14ac:dyDescent="0.25">
      <c r="A37" t="s">
        <v>40</v>
      </c>
      <c r="B37" s="1">
        <v>2076</v>
      </c>
      <c r="C37" s="1">
        <v>-215</v>
      </c>
    </row>
    <row r="38" spans="1:4" x14ac:dyDescent="0.25">
      <c r="A38" t="s">
        <v>41</v>
      </c>
      <c r="B38" s="1">
        <f>B36+B37</f>
        <v>-8209</v>
      </c>
      <c r="C38" s="1">
        <f>C36+C37</f>
        <v>-17289</v>
      </c>
    </row>
    <row r="40" spans="1:4" x14ac:dyDescent="0.25">
      <c r="A40" t="s">
        <v>52</v>
      </c>
    </row>
    <row r="41" spans="1:4" x14ac:dyDescent="0.25">
      <c r="A41" t="s">
        <v>0</v>
      </c>
      <c r="B41" s="1">
        <v>50773</v>
      </c>
      <c r="C41" s="1">
        <v>55701</v>
      </c>
    </row>
    <row r="42" spans="1:4" x14ac:dyDescent="0.25">
      <c r="A42" t="s">
        <v>1</v>
      </c>
      <c r="B42" s="1">
        <v>39864</v>
      </c>
      <c r="C42" s="1">
        <v>39363</v>
      </c>
    </row>
    <row r="43" spans="1:4" x14ac:dyDescent="0.25">
      <c r="A43" t="s">
        <v>2</v>
      </c>
      <c r="B43" s="1">
        <v>23094</v>
      </c>
      <c r="C43" s="1">
        <v>27757</v>
      </c>
    </row>
    <row r="44" spans="1:4" x14ac:dyDescent="0.25">
      <c r="A44" t="s">
        <v>3</v>
      </c>
      <c r="B44" s="1">
        <v>8581</v>
      </c>
      <c r="C44" s="1">
        <v>9061</v>
      </c>
    </row>
    <row r="45" spans="1:4" x14ac:dyDescent="0.25">
      <c r="A45" t="s">
        <v>4</v>
      </c>
      <c r="B45" s="1">
        <v>5810</v>
      </c>
      <c r="C45" s="1">
        <v>5887</v>
      </c>
    </row>
    <row r="46" spans="1:4" x14ac:dyDescent="0.25">
      <c r="A46" t="s">
        <v>5</v>
      </c>
      <c r="B46" s="1">
        <v>5008</v>
      </c>
      <c r="C46" s="1">
        <v>5221</v>
      </c>
    </row>
    <row r="47" spans="1:4" x14ac:dyDescent="0.25">
      <c r="A47" t="s">
        <v>43</v>
      </c>
      <c r="B47" s="1">
        <v>3538</v>
      </c>
      <c r="C47" s="1">
        <v>3736</v>
      </c>
    </row>
    <row r="48" spans="1:4" x14ac:dyDescent="0.25">
      <c r="A48" t="s">
        <v>44</v>
      </c>
      <c r="B48" s="1">
        <v>1620</v>
      </c>
      <c r="C48" s="1">
        <v>1719</v>
      </c>
    </row>
    <row r="49" spans="1:3" x14ac:dyDescent="0.25">
      <c r="A49" t="s">
        <v>45</v>
      </c>
      <c r="B49" s="1">
        <v>813</v>
      </c>
      <c r="C49" s="1">
        <v>693</v>
      </c>
    </row>
    <row r="50" spans="1:3" x14ac:dyDescent="0.25">
      <c r="A50" t="s">
        <v>46</v>
      </c>
      <c r="B50" s="1">
        <v>593</v>
      </c>
      <c r="C50" s="1">
        <v>530</v>
      </c>
    </row>
    <row r="51" spans="1:3" x14ac:dyDescent="0.25">
      <c r="A51" t="s">
        <v>47</v>
      </c>
      <c r="B51" s="1">
        <v>517</v>
      </c>
      <c r="C51" s="1">
        <v>514</v>
      </c>
    </row>
    <row r="52" spans="1:3" x14ac:dyDescent="0.25">
      <c r="A52" t="s">
        <v>48</v>
      </c>
      <c r="B52" s="1">
        <v>346</v>
      </c>
      <c r="C52" s="1">
        <v>390</v>
      </c>
    </row>
    <row r="53" spans="1:3" x14ac:dyDescent="0.25">
      <c r="A53" t="s">
        <v>49</v>
      </c>
      <c r="B53" s="1">
        <v>529</v>
      </c>
      <c r="C53" s="1">
        <v>54</v>
      </c>
    </row>
    <row r="54" spans="1:3" x14ac:dyDescent="0.25">
      <c r="A54" t="s">
        <v>7</v>
      </c>
      <c r="B54" s="1">
        <v>728</v>
      </c>
      <c r="C54" s="1">
        <v>891</v>
      </c>
    </row>
    <row r="55" spans="1:3" x14ac:dyDescent="0.25">
      <c r="A55" s="2" t="s">
        <v>50</v>
      </c>
      <c r="B55" s="3">
        <f>SUM(B41:B54)</f>
        <v>141814</v>
      </c>
      <c r="C55" s="3">
        <f>SUM(C41:C54)</f>
        <v>151517</v>
      </c>
    </row>
    <row r="56" spans="1:3" x14ac:dyDescent="0.25">
      <c r="A56" s="4" t="s">
        <v>51</v>
      </c>
      <c r="B56" s="5">
        <f>B10</f>
        <v>141814</v>
      </c>
      <c r="C56" s="5">
        <f>C10</f>
        <v>151517</v>
      </c>
    </row>
    <row r="58" spans="1:3" x14ac:dyDescent="0.25">
      <c r="A58" t="s">
        <v>53</v>
      </c>
    </row>
    <row r="59" spans="1:3" x14ac:dyDescent="0.25">
      <c r="A59" t="s">
        <v>54</v>
      </c>
      <c r="B59" s="1">
        <v>19286</v>
      </c>
      <c r="C59" s="1">
        <v>20363</v>
      </c>
    </row>
    <row r="60" spans="1:3" x14ac:dyDescent="0.25">
      <c r="A60" t="s">
        <v>55</v>
      </c>
      <c r="B60" s="1">
        <v>6407</v>
      </c>
      <c r="C60" s="1">
        <v>6611</v>
      </c>
    </row>
    <row r="61" spans="1:3" x14ac:dyDescent="0.25">
      <c r="A61" t="s">
        <v>56</v>
      </c>
      <c r="B61" s="1">
        <v>2031</v>
      </c>
      <c r="C61" s="1">
        <v>2800</v>
      </c>
    </row>
    <row r="62" spans="1:3" x14ac:dyDescent="0.25">
      <c r="A62" t="s">
        <v>57</v>
      </c>
      <c r="B62" s="1">
        <v>935</v>
      </c>
      <c r="C62" s="1">
        <v>1204</v>
      </c>
    </row>
    <row r="63" spans="1:3" x14ac:dyDescent="0.25">
      <c r="A63" t="s">
        <v>58</v>
      </c>
      <c r="B63" s="1">
        <v>609</v>
      </c>
      <c r="C63" s="1">
        <v>1124</v>
      </c>
    </row>
    <row r="64" spans="1:3" x14ac:dyDescent="0.25">
      <c r="A64" t="s">
        <v>59</v>
      </c>
      <c r="B64" s="1">
        <v>625</v>
      </c>
      <c r="C64" s="1">
        <v>691</v>
      </c>
    </row>
    <row r="65" spans="1:3" x14ac:dyDescent="0.25">
      <c r="A65" t="s">
        <v>60</v>
      </c>
      <c r="B65" s="1">
        <v>792</v>
      </c>
      <c r="C65" s="1">
        <v>641</v>
      </c>
    </row>
    <row r="66" spans="1:3" x14ac:dyDescent="0.25">
      <c r="A66" t="s">
        <v>61</v>
      </c>
      <c r="B66" s="1">
        <v>421</v>
      </c>
      <c r="C66" s="1">
        <v>576</v>
      </c>
    </row>
    <row r="67" spans="1:3" x14ac:dyDescent="0.25">
      <c r="A67" t="s">
        <v>62</v>
      </c>
      <c r="B67" s="1">
        <v>462</v>
      </c>
      <c r="C67" s="1">
        <v>464</v>
      </c>
    </row>
    <row r="68" spans="1:3" x14ac:dyDescent="0.25">
      <c r="A68" t="s">
        <v>63</v>
      </c>
      <c r="B68" s="1">
        <v>332</v>
      </c>
      <c r="C68" s="1">
        <v>338</v>
      </c>
    </row>
    <row r="69" spans="1:3" x14ac:dyDescent="0.25">
      <c r="A69" t="s">
        <v>64</v>
      </c>
      <c r="B69" s="1">
        <v>357</v>
      </c>
      <c r="C69" s="1">
        <v>280</v>
      </c>
    </row>
    <row r="70" spans="1:3" x14ac:dyDescent="0.25">
      <c r="A70" t="s">
        <v>65</v>
      </c>
      <c r="B70" s="1">
        <v>208</v>
      </c>
      <c r="C70" s="1">
        <v>210</v>
      </c>
    </row>
    <row r="71" spans="1:3" x14ac:dyDescent="0.25">
      <c r="A71" t="s">
        <v>66</v>
      </c>
      <c r="B71" s="1">
        <v>0</v>
      </c>
      <c r="C71" s="1">
        <v>178</v>
      </c>
    </row>
    <row r="72" spans="1:3" x14ac:dyDescent="0.25">
      <c r="A72" t="s">
        <v>67</v>
      </c>
      <c r="B72" s="1">
        <v>218</v>
      </c>
      <c r="C72" s="1">
        <v>173</v>
      </c>
    </row>
    <row r="73" spans="1:3" x14ac:dyDescent="0.25">
      <c r="A73" t="s">
        <v>68</v>
      </c>
      <c r="B73" s="1">
        <v>187</v>
      </c>
      <c r="C73" s="1">
        <v>151</v>
      </c>
    </row>
    <row r="74" spans="1:3" x14ac:dyDescent="0.25">
      <c r="A74" t="s">
        <v>69</v>
      </c>
      <c r="B74" s="1">
        <v>71</v>
      </c>
      <c r="C74" s="1">
        <v>77</v>
      </c>
    </row>
    <row r="75" spans="1:3" x14ac:dyDescent="0.25">
      <c r="A75" t="s">
        <v>70</v>
      </c>
      <c r="B75" s="1">
        <v>44</v>
      </c>
      <c r="C75" s="1">
        <v>69</v>
      </c>
    </row>
    <row r="76" spans="1:3" x14ac:dyDescent="0.25">
      <c r="A76" t="s">
        <v>71</v>
      </c>
      <c r="B76" s="1">
        <v>67</v>
      </c>
      <c r="C76" s="1">
        <v>68</v>
      </c>
    </row>
    <row r="77" spans="1:3" x14ac:dyDescent="0.25">
      <c r="A77" t="s">
        <v>15</v>
      </c>
      <c r="B77" s="1">
        <v>1284</v>
      </c>
      <c r="C77" s="1">
        <v>615</v>
      </c>
    </row>
    <row r="78" spans="1:3" x14ac:dyDescent="0.25">
      <c r="A78" s="2" t="s">
        <v>72</v>
      </c>
      <c r="B78" s="3">
        <f>SUM(B59:B77)</f>
        <v>34336</v>
      </c>
      <c r="C78" s="3">
        <f>SUM(C59:C77)</f>
        <v>36633</v>
      </c>
    </row>
    <row r="79" spans="1:3" x14ac:dyDescent="0.25">
      <c r="A79" t="s">
        <v>51</v>
      </c>
      <c r="B79" s="1">
        <f>B11</f>
        <v>34336</v>
      </c>
      <c r="C79" s="1">
        <f>C11</f>
        <v>36633</v>
      </c>
    </row>
    <row r="81" spans="1:3" x14ac:dyDescent="0.25">
      <c r="A81" t="s">
        <v>73</v>
      </c>
    </row>
    <row r="82" spans="1:3" x14ac:dyDescent="0.25">
      <c r="A82" t="s">
        <v>74</v>
      </c>
      <c r="B82" s="1">
        <v>1566</v>
      </c>
      <c r="C82" s="1">
        <v>1630</v>
      </c>
    </row>
    <row r="83" spans="1:3" x14ac:dyDescent="0.25">
      <c r="A83" t="s">
        <v>75</v>
      </c>
      <c r="B83" s="1">
        <v>1370</v>
      </c>
      <c r="C83" s="1">
        <v>1601</v>
      </c>
    </row>
    <row r="84" spans="1:3" x14ac:dyDescent="0.25">
      <c r="A84" t="s">
        <v>76</v>
      </c>
      <c r="B84" s="1">
        <v>1222</v>
      </c>
      <c r="C84" s="1">
        <v>1232</v>
      </c>
    </row>
    <row r="85" spans="1:3" x14ac:dyDescent="0.25">
      <c r="A85" t="s">
        <v>77</v>
      </c>
      <c r="B85" s="1">
        <v>138</v>
      </c>
      <c r="C85" s="1">
        <v>436</v>
      </c>
    </row>
    <row r="86" spans="1:3" x14ac:dyDescent="0.25">
      <c r="A86" t="s">
        <v>78</v>
      </c>
      <c r="B86" s="1">
        <v>319</v>
      </c>
      <c r="C86" s="1">
        <v>297</v>
      </c>
    </row>
    <row r="87" spans="1:3" x14ac:dyDescent="0.25">
      <c r="A87" t="s">
        <v>79</v>
      </c>
      <c r="B87" s="1">
        <v>248</v>
      </c>
      <c r="C87" s="1">
        <v>261</v>
      </c>
    </row>
    <row r="88" spans="1:3" x14ac:dyDescent="0.25">
      <c r="A88" t="s">
        <v>80</v>
      </c>
      <c r="B88" s="1">
        <v>41</v>
      </c>
      <c r="C88" s="1">
        <v>40</v>
      </c>
    </row>
    <row r="89" spans="1:3" x14ac:dyDescent="0.25">
      <c r="A89" t="s">
        <v>81</v>
      </c>
      <c r="B89" s="1">
        <v>4338</v>
      </c>
      <c r="C89" s="1">
        <v>7553</v>
      </c>
    </row>
    <row r="90" spans="1:3" x14ac:dyDescent="0.25">
      <c r="A90" s="2" t="s">
        <v>82</v>
      </c>
      <c r="B90" s="3">
        <f>SUM(B82:B89)</f>
        <v>9242</v>
      </c>
      <c r="C90" s="3">
        <f>SUM(C82:C89)</f>
        <v>13050</v>
      </c>
    </row>
    <row r="91" spans="1:3" x14ac:dyDescent="0.25">
      <c r="A91" t="s">
        <v>51</v>
      </c>
      <c r="B91" s="1">
        <f>B15</f>
        <v>9242</v>
      </c>
      <c r="C91" s="1">
        <f>C15</f>
        <v>13050</v>
      </c>
    </row>
    <row r="93" spans="1:3" x14ac:dyDescent="0.25">
      <c r="A93" t="s">
        <v>83</v>
      </c>
    </row>
    <row r="94" spans="1:3" x14ac:dyDescent="0.25">
      <c r="A94" t="s">
        <v>84</v>
      </c>
      <c r="B94" s="1">
        <v>501</v>
      </c>
      <c r="C94" s="1">
        <v>571</v>
      </c>
    </row>
    <row r="95" spans="1:3" x14ac:dyDescent="0.25">
      <c r="A95" t="s">
        <v>85</v>
      </c>
      <c r="B95" s="1">
        <v>176</v>
      </c>
      <c r="C95" s="1">
        <v>219</v>
      </c>
    </row>
    <row r="96" spans="1:3" x14ac:dyDescent="0.25">
      <c r="A96" t="s">
        <v>86</v>
      </c>
      <c r="B96" s="1">
        <v>2574</v>
      </c>
      <c r="C96" s="1">
        <v>2171</v>
      </c>
    </row>
    <row r="97" spans="1:3" x14ac:dyDescent="0.25">
      <c r="A97" t="s">
        <v>87</v>
      </c>
      <c r="B97" s="1">
        <v>244</v>
      </c>
      <c r="C97" s="1">
        <v>247</v>
      </c>
    </row>
    <row r="98" spans="1:3" x14ac:dyDescent="0.25">
      <c r="A98" t="s">
        <v>88</v>
      </c>
      <c r="B98" s="1">
        <v>2368</v>
      </c>
      <c r="C98" s="1">
        <v>2247</v>
      </c>
    </row>
    <row r="99" spans="1:3" x14ac:dyDescent="0.25">
      <c r="A99" t="s">
        <v>89</v>
      </c>
      <c r="B99" s="1">
        <v>1564</v>
      </c>
      <c r="C99" s="1">
        <v>2010</v>
      </c>
    </row>
    <row r="100" spans="1:3" x14ac:dyDescent="0.25">
      <c r="A100" s="2" t="s">
        <v>90</v>
      </c>
      <c r="B100" s="3">
        <f>SUM(B94:B99)</f>
        <v>7427</v>
      </c>
      <c r="C100" s="3">
        <f>SUM(C94:C99)</f>
        <v>7465</v>
      </c>
    </row>
    <row r="101" spans="1:3" x14ac:dyDescent="0.25">
      <c r="A101" t="s">
        <v>51</v>
      </c>
      <c r="B101" s="1">
        <f>B13</f>
        <v>7427</v>
      </c>
      <c r="C101" s="1">
        <f>C13</f>
        <v>7465</v>
      </c>
    </row>
    <row r="103" spans="1:3" x14ac:dyDescent="0.25">
      <c r="A103" t="s">
        <v>94</v>
      </c>
    </row>
    <row r="104" spans="1:3" x14ac:dyDescent="0.25">
      <c r="A104" t="s">
        <v>95</v>
      </c>
      <c r="B104" s="1">
        <v>4713</v>
      </c>
      <c r="C104" s="1">
        <v>6525</v>
      </c>
    </row>
    <row r="105" spans="1:3" x14ac:dyDescent="0.25">
      <c r="A105" t="s">
        <v>96</v>
      </c>
      <c r="B105" s="1">
        <v>1568</v>
      </c>
      <c r="C105" s="1">
        <v>1784</v>
      </c>
    </row>
    <row r="106" spans="1:3" x14ac:dyDescent="0.25">
      <c r="A106" t="s">
        <v>97</v>
      </c>
      <c r="B106" s="1">
        <v>6718</v>
      </c>
      <c r="C106" s="1">
        <v>6324</v>
      </c>
    </row>
    <row r="107" spans="1:3" x14ac:dyDescent="0.25">
      <c r="A107" t="s">
        <v>98</v>
      </c>
      <c r="B107" s="1">
        <v>72</v>
      </c>
      <c r="C107" s="1">
        <v>77</v>
      </c>
    </row>
    <row r="108" spans="1:3" x14ac:dyDescent="0.25">
      <c r="A108" s="2" t="s">
        <v>99</v>
      </c>
      <c r="B108" s="3">
        <f>SUM(B104:B107)</f>
        <v>13071</v>
      </c>
      <c r="C108" s="3">
        <f>SUM(C104:C107)</f>
        <v>14710</v>
      </c>
    </row>
    <row r="109" spans="1:3" x14ac:dyDescent="0.25">
      <c r="A109" t="s">
        <v>51</v>
      </c>
      <c r="B109" s="1">
        <f>B12</f>
        <v>13071</v>
      </c>
      <c r="C109" s="1">
        <f>C12</f>
        <v>14710</v>
      </c>
    </row>
    <row r="111" spans="1:3" x14ac:dyDescent="0.25">
      <c r="A111" t="s">
        <v>105</v>
      </c>
    </row>
    <row r="112" spans="1:3" x14ac:dyDescent="0.25">
      <c r="A112" t="s">
        <v>106</v>
      </c>
      <c r="B112" s="1">
        <v>1289</v>
      </c>
      <c r="C112" s="1">
        <v>2423</v>
      </c>
    </row>
    <row r="113" spans="1:3" x14ac:dyDescent="0.25">
      <c r="A113" t="s">
        <v>107</v>
      </c>
      <c r="B113" s="1">
        <v>7032</v>
      </c>
      <c r="C113" s="1">
        <v>8603</v>
      </c>
    </row>
    <row r="114" spans="1:3" x14ac:dyDescent="0.25">
      <c r="A114" t="s">
        <v>108</v>
      </c>
      <c r="B114" s="1">
        <v>7373</v>
      </c>
      <c r="C114" s="1">
        <v>9017</v>
      </c>
    </row>
    <row r="115" spans="1:3" x14ac:dyDescent="0.25">
      <c r="A115" t="s">
        <v>109</v>
      </c>
      <c r="B115" s="1">
        <v>1229</v>
      </c>
      <c r="C115" s="1">
        <v>1333</v>
      </c>
    </row>
    <row r="116" spans="1:3" x14ac:dyDescent="0.25">
      <c r="A116" t="s">
        <v>110</v>
      </c>
      <c r="B116" s="1">
        <v>870</v>
      </c>
      <c r="C116" s="1">
        <v>1279</v>
      </c>
    </row>
    <row r="117" spans="1:3" x14ac:dyDescent="0.25">
      <c r="A117" t="s">
        <v>15</v>
      </c>
      <c r="B117" s="1">
        <v>920</v>
      </c>
      <c r="C117" s="1">
        <v>1890</v>
      </c>
    </row>
    <row r="118" spans="1:3" x14ac:dyDescent="0.25">
      <c r="A118" s="2" t="s">
        <v>111</v>
      </c>
      <c r="B118" s="3">
        <f>SUM(B112:B117)</f>
        <v>18713</v>
      </c>
      <c r="C118" s="3">
        <f>SUM(C112:C117)</f>
        <v>24545</v>
      </c>
    </row>
    <row r="119" spans="1:3" x14ac:dyDescent="0.25">
      <c r="B119" s="1">
        <f>B27</f>
        <v>-18713</v>
      </c>
      <c r="C119" s="1">
        <f>C27</f>
        <v>-24545</v>
      </c>
    </row>
    <row r="120" spans="1:3" x14ac:dyDescent="0.25">
      <c r="A120" t="s">
        <v>112</v>
      </c>
    </row>
    <row r="121" spans="1:3" x14ac:dyDescent="0.25">
      <c r="A121" t="s">
        <v>106</v>
      </c>
      <c r="B121" s="1">
        <v>0</v>
      </c>
      <c r="C121">
        <v>0</v>
      </c>
    </row>
    <row r="122" spans="1:3" x14ac:dyDescent="0.25">
      <c r="A122" t="s">
        <v>107</v>
      </c>
      <c r="B122" s="1">
        <v>3530</v>
      </c>
      <c r="C122">
        <v>3743</v>
      </c>
    </row>
    <row r="123" spans="1:3" x14ac:dyDescent="0.25">
      <c r="A123" t="s">
        <v>108</v>
      </c>
      <c r="B123" s="1">
        <v>2025</v>
      </c>
      <c r="C123">
        <v>2139</v>
      </c>
    </row>
    <row r="124" spans="1:3" x14ac:dyDescent="0.25">
      <c r="A124" t="s">
        <v>109</v>
      </c>
      <c r="B124" s="1">
        <v>964</v>
      </c>
      <c r="C124">
        <v>959</v>
      </c>
    </row>
    <row r="125" spans="1:3" x14ac:dyDescent="0.25">
      <c r="A125" t="s">
        <v>110</v>
      </c>
      <c r="B125" s="1">
        <v>1059</v>
      </c>
      <c r="C125">
        <v>1052</v>
      </c>
    </row>
    <row r="126" spans="1:3" x14ac:dyDescent="0.25">
      <c r="A126" t="s">
        <v>15</v>
      </c>
      <c r="B126" s="1">
        <v>391</v>
      </c>
      <c r="C126">
        <v>454</v>
      </c>
    </row>
    <row r="127" spans="1:3" x14ac:dyDescent="0.25">
      <c r="A127" s="2" t="s">
        <v>113</v>
      </c>
      <c r="B127" s="1">
        <f>SUM(B121:B126)</f>
        <v>7969</v>
      </c>
      <c r="C127" s="1">
        <f>SUM(C121:C126)</f>
        <v>8347</v>
      </c>
    </row>
    <row r="128" spans="1:3" x14ac:dyDescent="0.25">
      <c r="B128" s="1">
        <f>B28</f>
        <v>7969</v>
      </c>
      <c r="C128" s="1">
        <f>C28</f>
        <v>8347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</vt:lpstr>
      <vt:lpstr>spending</vt:lpstr>
      <vt:lpstr>financial_data_raw_data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Tsao</dc:creator>
  <cp:lastModifiedBy>Boris Tsao</cp:lastModifiedBy>
  <dcterms:created xsi:type="dcterms:W3CDTF">2025-11-25T01:49:47Z</dcterms:created>
  <dcterms:modified xsi:type="dcterms:W3CDTF">2025-11-27T01:33:23Z</dcterms:modified>
</cp:coreProperties>
</file>